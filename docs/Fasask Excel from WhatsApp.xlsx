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drawings/drawing3.xml" ContentType="application/vnd.openxmlformats-officedocument.drawing+xml"/>
  <Override PartName="/xl/ink/ink4.xml" ContentType="application/inkml+xml"/>
  <Override PartName="/xl/ink/ink5.xml" ContentType="application/inkml+xml"/>
  <Override PartName="/xl/ink/ink6.xml" ContentType="application/inkml+xml"/>
  <Override PartName="/xl/drawings/drawing4.xml" ContentType="application/vnd.openxmlformats-officedocument.drawing+xml"/>
  <Override PartName="/xl/ink/ink7.xml" ContentType="application/inkml+xml"/>
  <Override PartName="/xl/ink/ink8.xml" ContentType="application/inkml+xml"/>
  <Override PartName="/xl/ink/ink9.xml" ContentType="application/inkml+xml"/>
  <Override PartName="/xl/drawings/drawing5.xml" ContentType="application/vnd.openxmlformats-officedocument.drawing+xml"/>
  <Override PartName="/xl/ink/ink10.xml" ContentType="application/inkml+xml"/>
  <Override PartName="/xl/ink/ink11.xml" ContentType="application/inkml+xml"/>
  <Override PartName="/xl/ink/ink12.xml" ContentType="application/inkml+xml"/>
  <Override PartName="/xl/drawings/drawing6.xml" ContentType="application/vnd.openxmlformats-officedocument.drawing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drawings/drawing7.xml" ContentType="application/vnd.openxmlformats-officedocument.drawing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8.xml" ContentType="application/vnd.openxmlformats-officedocument.drawing+xml"/>
  <Override PartName="/xl/ink/ink59.xml" ContentType="application/inkml+xml"/>
  <Override PartName="/xl/ink/ink60.xml" ContentType="application/inkml+xml"/>
  <Override PartName="/xl/ink/ink61.xml" ContentType="application/inkml+xml"/>
  <Override PartName="/xl/drawings/drawing9.xml" ContentType="application/vnd.openxmlformats-officedocument.drawing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drawings/drawing10.xml" ContentType="application/vnd.openxmlformats-officedocument.drawing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dd83cd9dcdfbce1b/Documents/2 property/PDN/1 Pellatt Str/Financial/Feso/"/>
    </mc:Choice>
  </mc:AlternateContent>
  <xr:revisionPtr revIDLastSave="2" documentId="8_{71E742DD-8038-4F6B-A291-98C5D988461C}" xr6:coauthVersionLast="47" xr6:coauthVersionMax="47" xr10:uidLastSave="{30E6403F-771E-4D22-B3B9-47F5E5BF98D7}"/>
  <bookViews>
    <workbookView xWindow="-120" yWindow="-120" windowWidth="29040" windowHeight="15720" tabRatio="940" activeTab="17" xr2:uid="{D6A3D5DD-7AD8-42F3-84F5-E0D16EE3E2AB}"/>
  </bookViews>
  <sheets>
    <sheet name="Comparision" sheetId="28" r:id="rId1"/>
    <sheet name="Capital Stack" sheetId="22" r:id="rId2"/>
    <sheet name="cashflow" sheetId="31" r:id="rId3"/>
    <sheet name="2 x Land Sales@ 70LVR" sheetId="20" r:id="rId4"/>
    <sheet name="Budget vs actual" sheetId="32" r:id="rId5"/>
    <sheet name="1 land + 1 build" sheetId="29" r:id="rId6"/>
    <sheet name="2 x single build" sheetId="30" state="hidden" r:id="rId7"/>
    <sheet name="Sell 1 hold 1 at 70% LVR" sheetId="27" state="hidden" r:id="rId8"/>
    <sheet name="7 Yr Valuation &amp; Cashflow JV" sheetId="17" state="hidden" r:id="rId9"/>
    <sheet name="Senior Funding Model" sheetId="25" state="hidden" r:id="rId10"/>
    <sheet name="7 Yr Valuation &amp; Cashflow" sheetId="11" state="hidden" r:id="rId11"/>
    <sheet name="Cash Flow FY1" sheetId="12" state="hidden" r:id="rId12"/>
    <sheet name="Cash Flow FY2" sheetId="13" state="hidden" r:id="rId13"/>
    <sheet name="Cash Flow FY3" sheetId="14" state="hidden" r:id="rId14"/>
    <sheet name="Cash Flow FY4" sheetId="15" state="hidden" r:id="rId15"/>
    <sheet name="Cash Flow FY5" sheetId="16" state="hidden" r:id="rId16"/>
    <sheet name="2 x Land Sales@ 80 LVR" sheetId="26" state="hidden" r:id="rId17"/>
    <sheet name="IM Presentaion" sheetId="19" r:id="rId18"/>
    <sheet name="Claro Clash flow" sheetId="24" state="hidden" r:id="rId19"/>
  </sheets>
  <externalReferences>
    <externalReference r:id="rId20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2" l="1"/>
  <c r="E31" i="32"/>
  <c r="D8" i="32"/>
  <c r="D10" i="32" s="1"/>
  <c r="C8" i="32"/>
  <c r="C10" i="32" s="1"/>
  <c r="E11" i="32"/>
  <c r="E12" i="32"/>
  <c r="E14" i="32"/>
  <c r="E18" i="32"/>
  <c r="E20" i="32"/>
  <c r="E24" i="32"/>
  <c r="E25" i="32"/>
  <c r="E27" i="32"/>
  <c r="E22" i="32"/>
  <c r="D23" i="32"/>
  <c r="E23" i="32" s="1"/>
  <c r="D19" i="32"/>
  <c r="D16" i="32"/>
  <c r="D15" i="32"/>
  <c r="E15" i="32" s="1"/>
  <c r="D13" i="32"/>
  <c r="D12" i="32"/>
  <c r="E26" i="32"/>
  <c r="C16" i="32"/>
  <c r="C13" i="32"/>
  <c r="C17" i="32" s="1"/>
  <c r="C3" i="32"/>
  <c r="D15" i="31"/>
  <c r="C15" i="31"/>
  <c r="B15" i="31"/>
  <c r="B5" i="31"/>
  <c r="B4" i="31"/>
  <c r="B17" i="31"/>
  <c r="B18" i="31"/>
  <c r="B19" i="31"/>
  <c r="E16" i="32" l="1"/>
  <c r="E19" i="32"/>
  <c r="D28" i="32"/>
  <c r="E13" i="32"/>
  <c r="D17" i="32"/>
  <c r="E10" i="32"/>
  <c r="B17" i="32"/>
  <c r="B10" i="32"/>
  <c r="B12" i="32"/>
  <c r="B31" i="32"/>
  <c r="K40" i="22"/>
  <c r="K41" i="22"/>
  <c r="K39" i="22"/>
  <c r="R15" i="22"/>
  <c r="E17" i="32" l="1"/>
  <c r="D29" i="32"/>
  <c r="C28" i="32"/>
  <c r="E21" i="32"/>
  <c r="D30" i="32"/>
  <c r="D34" i="32" s="1"/>
  <c r="D35" i="32" s="1"/>
  <c r="D21" i="28"/>
  <c r="C21" i="28"/>
  <c r="D20" i="28"/>
  <c r="C20" i="28"/>
  <c r="B36" i="28"/>
  <c r="C23" i="28"/>
  <c r="C25" i="28"/>
  <c r="C24" i="28"/>
  <c r="C19" i="28"/>
  <c r="B28" i="28"/>
  <c r="C17" i="28"/>
  <c r="B21" i="28"/>
  <c r="B20" i="28"/>
  <c r="C22" i="31"/>
  <c r="N5" i="31"/>
  <c r="C23" i="20"/>
  <c r="J39" i="22"/>
  <c r="J41" i="22" s="1"/>
  <c r="I34" i="22"/>
  <c r="N4" i="31"/>
  <c r="N37" i="31"/>
  <c r="N36" i="31"/>
  <c r="N35" i="31"/>
  <c r="G34" i="31"/>
  <c r="F34" i="31"/>
  <c r="E34" i="31"/>
  <c r="D34" i="31"/>
  <c r="C34" i="31"/>
  <c r="N33" i="31"/>
  <c r="N31" i="31"/>
  <c r="B26" i="31"/>
  <c r="N26" i="31" s="1"/>
  <c r="B25" i="31"/>
  <c r="N24" i="31"/>
  <c r="N23" i="31"/>
  <c r="N22" i="31"/>
  <c r="N18" i="31"/>
  <c r="Q17" i="31"/>
  <c r="N17" i="31"/>
  <c r="N16" i="31"/>
  <c r="M13" i="31"/>
  <c r="L13" i="31"/>
  <c r="K13" i="31"/>
  <c r="J13" i="31"/>
  <c r="I13" i="31"/>
  <c r="H13" i="31"/>
  <c r="G13" i="31"/>
  <c r="F13" i="31"/>
  <c r="E13" i="31"/>
  <c r="N12" i="31"/>
  <c r="C10" i="31"/>
  <c r="N9" i="31"/>
  <c r="B8" i="31"/>
  <c r="B20" i="31" s="1"/>
  <c r="N7" i="31"/>
  <c r="N6" i="31"/>
  <c r="B3" i="31"/>
  <c r="E28" i="32" l="1"/>
  <c r="B28" i="32"/>
  <c r="C29" i="32"/>
  <c r="N34" i="31"/>
  <c r="C13" i="31"/>
  <c r="C28" i="28"/>
  <c r="N13" i="31"/>
  <c r="N20" i="31"/>
  <c r="B44" i="31"/>
  <c r="D11" i="31"/>
  <c r="B13" i="31"/>
  <c r="N21" i="31"/>
  <c r="E29" i="32" l="1"/>
  <c r="C30" i="32"/>
  <c r="B39" i="31"/>
  <c r="B40" i="31" s="1"/>
  <c r="D14" i="31"/>
  <c r="D13" i="31"/>
  <c r="C44" i="31"/>
  <c r="C30" i="31"/>
  <c r="C34" i="32" l="1"/>
  <c r="B30" i="32"/>
  <c r="E30" i="32"/>
  <c r="B41" i="31"/>
  <c r="C39" i="31"/>
  <c r="C40" i="31" s="1"/>
  <c r="D30" i="31"/>
  <c r="D39" i="31" s="1"/>
  <c r="D40" i="31" s="1"/>
  <c r="D44" i="31"/>
  <c r="E34" i="32" l="1"/>
  <c r="E35" i="32" s="1"/>
  <c r="C35" i="32"/>
  <c r="E30" i="31"/>
  <c r="E39" i="31" s="1"/>
  <c r="E40" i="31" s="1"/>
  <c r="E44" i="31"/>
  <c r="C3" i="31"/>
  <c r="C41" i="31" s="1"/>
  <c r="D3" i="31" s="1"/>
  <c r="D41" i="31" s="1"/>
  <c r="E3" i="31" s="1"/>
  <c r="E41" i="31" l="1"/>
  <c r="F3" i="31" s="1"/>
  <c r="F30" i="31"/>
  <c r="F44" i="31"/>
  <c r="G30" i="31" l="1"/>
  <c r="G14" i="31"/>
  <c r="F39" i="31"/>
  <c r="F40" i="31" s="1"/>
  <c r="F41" i="31" s="1"/>
  <c r="G3" i="31" l="1"/>
  <c r="G39" i="31"/>
  <c r="G40" i="31" s="1"/>
  <c r="N14" i="31"/>
  <c r="G44" i="31"/>
  <c r="H30" i="31" l="1"/>
  <c r="H44" i="31"/>
  <c r="G41" i="31"/>
  <c r="H3" i="31" l="1"/>
  <c r="I44" i="31"/>
  <c r="I30" i="31"/>
  <c r="I39" i="31" s="1"/>
  <c r="I40" i="31" s="1"/>
  <c r="H39" i="31"/>
  <c r="H40" i="31" s="1"/>
  <c r="J30" i="31" l="1"/>
  <c r="J44" i="31"/>
  <c r="H41" i="31"/>
  <c r="I3" i="31" l="1"/>
  <c r="I41" i="31" s="1"/>
  <c r="J3" i="31" s="1"/>
  <c r="K44" i="31"/>
  <c r="K30" i="31"/>
  <c r="K39" i="31" s="1"/>
  <c r="K40" i="31" s="1"/>
  <c r="J39" i="31"/>
  <c r="J40" i="31" s="1"/>
  <c r="L30" i="31" l="1"/>
  <c r="L39" i="31" s="1"/>
  <c r="L40" i="31" s="1"/>
  <c r="L44" i="31"/>
  <c r="J41" i="31"/>
  <c r="K3" i="31" s="1"/>
  <c r="K41" i="31" s="1"/>
  <c r="L3" i="31" s="1"/>
  <c r="L41" i="31" l="1"/>
  <c r="M3" i="31" s="1"/>
  <c r="M30" i="31"/>
  <c r="M44" i="31"/>
  <c r="M39" i="31" l="1"/>
  <c r="M40" i="31" s="1"/>
  <c r="N30" i="31"/>
  <c r="N39" i="31" s="1"/>
  <c r="N40" i="31" l="1"/>
  <c r="M41" i="31"/>
  <c r="N41" i="31" s="1"/>
  <c r="I39" i="22" l="1"/>
  <c r="G39" i="22"/>
  <c r="G41" i="22" s="1"/>
  <c r="H39" i="22"/>
  <c r="H41" i="22" s="1"/>
  <c r="C6" i="20"/>
  <c r="C37" i="30"/>
  <c r="C36" i="30"/>
  <c r="C35" i="30"/>
  <c r="C13" i="30"/>
  <c r="C17" i="30" s="1"/>
  <c r="D12" i="30"/>
  <c r="C8" i="30"/>
  <c r="D4" i="30"/>
  <c r="C3" i="30"/>
  <c r="B38" i="29"/>
  <c r="B37" i="29"/>
  <c r="B33" i="29"/>
  <c r="C13" i="29"/>
  <c r="C17" i="29" s="1"/>
  <c r="C9" i="29"/>
  <c r="C8" i="29"/>
  <c r="C27" i="29" s="1"/>
  <c r="D4" i="29"/>
  <c r="C3" i="29"/>
  <c r="B83" i="20"/>
  <c r="I41" i="22" l="1"/>
  <c r="G44" i="22" s="1"/>
  <c r="G43" i="22"/>
  <c r="C39" i="30"/>
  <c r="C29" i="30" s="1"/>
  <c r="D6" i="30"/>
  <c r="C9" i="30"/>
  <c r="C10" i="30" s="1"/>
  <c r="D6" i="29"/>
  <c r="C10" i="29"/>
  <c r="G45" i="22" l="1"/>
  <c r="C19" i="30"/>
  <c r="B12" i="30"/>
  <c r="B10" i="30"/>
  <c r="C27" i="30"/>
  <c r="C18" i="30"/>
  <c r="C23" i="30"/>
  <c r="C20" i="30"/>
  <c r="B17" i="30"/>
  <c r="C20" i="29"/>
  <c r="C19" i="29"/>
  <c r="B12" i="29"/>
  <c r="C21" i="29"/>
  <c r="B10" i="29"/>
  <c r="C18" i="29"/>
  <c r="C23" i="29"/>
  <c r="B17" i="29"/>
  <c r="C29" i="29"/>
  <c r="F18" i="30" l="1"/>
  <c r="D18" i="30"/>
  <c r="E18" i="30" s="1"/>
  <c r="C25" i="30"/>
  <c r="F18" i="29"/>
  <c r="D18" i="29"/>
  <c r="E18" i="29" s="1"/>
  <c r="C25" i="29"/>
  <c r="B25" i="30" l="1"/>
  <c r="C26" i="30"/>
  <c r="C28" i="30" s="1"/>
  <c r="B28" i="30" s="1"/>
  <c r="B25" i="29"/>
  <c r="C26" i="29"/>
  <c r="C28" i="29" s="1"/>
  <c r="B28" i="29" s="1"/>
  <c r="B21" i="22" l="1"/>
  <c r="C17" i="22"/>
  <c r="C6" i="27"/>
  <c r="B25" i="22" l="1"/>
  <c r="C64" i="11" l="1"/>
  <c r="B102" i="11"/>
  <c r="I14" i="22"/>
  <c r="C10" i="11"/>
  <c r="C11" i="11"/>
  <c r="B6" i="22"/>
  <c r="B31" i="22" s="1"/>
  <c r="B5" i="22"/>
  <c r="B33" i="22" s="1"/>
  <c r="B3" i="22"/>
  <c r="B29" i="22" s="1"/>
  <c r="B7" i="22"/>
  <c r="B32" i="22" s="1"/>
  <c r="H79" i="11"/>
  <c r="I79" i="11"/>
  <c r="B91" i="11"/>
  <c r="B90" i="11"/>
  <c r="M13" i="11"/>
  <c r="B86" i="11"/>
  <c r="C55" i="11"/>
  <c r="C59" i="11" s="1"/>
  <c r="C56" i="11"/>
  <c r="C60" i="11" s="1"/>
  <c r="F52" i="20"/>
  <c r="E27" i="20"/>
  <c r="H8" i="20"/>
  <c r="C16" i="20" l="1"/>
  <c r="C47" i="20" s="1"/>
  <c r="D13" i="25"/>
  <c r="L3" i="22" l="1"/>
  <c r="L2" i="22"/>
  <c r="E40" i="11"/>
  <c r="F40" i="11"/>
  <c r="G40" i="11"/>
  <c r="D40" i="11"/>
  <c r="K3" i="22"/>
  <c r="K2" i="22"/>
  <c r="I7" i="22"/>
  <c r="I4" i="22"/>
  <c r="J4" i="22"/>
  <c r="M33" i="11" l="1"/>
  <c r="M27" i="11"/>
  <c r="M25" i="11"/>
  <c r="L25" i="11"/>
  <c r="L27" i="11"/>
  <c r="L34" i="11" s="1"/>
  <c r="M34" i="11" l="1"/>
  <c r="M36" i="11" s="1"/>
  <c r="M37" i="11" s="1"/>
  <c r="L36" i="11"/>
  <c r="L37" i="11" s="1"/>
  <c r="D3" i="12"/>
  <c r="E3" i="12"/>
  <c r="F3" i="12"/>
  <c r="G3" i="12"/>
  <c r="H3" i="12"/>
  <c r="C3" i="12"/>
  <c r="C18" i="14"/>
  <c r="B61" i="26"/>
  <c r="B57" i="26"/>
  <c r="B68" i="20"/>
  <c r="C16" i="26"/>
  <c r="E52" i="27"/>
  <c r="D52" i="27"/>
  <c r="E51" i="27"/>
  <c r="D51" i="27"/>
  <c r="D50" i="27"/>
  <c r="E50" i="27"/>
  <c r="C51" i="27"/>
  <c r="C50" i="27"/>
  <c r="C38" i="27"/>
  <c r="E27" i="27"/>
  <c r="C37" i="27" s="1"/>
  <c r="C39" i="27" s="1"/>
  <c r="H20" i="27"/>
  <c r="U27" i="27"/>
  <c r="L15" i="27"/>
  <c r="M15" i="27" s="1"/>
  <c r="L14" i="27"/>
  <c r="M14" i="27" s="1"/>
  <c r="C13" i="27"/>
  <c r="E12" i="27"/>
  <c r="H10" i="27"/>
  <c r="H11" i="27" s="1"/>
  <c r="L9" i="27"/>
  <c r="L8" i="27"/>
  <c r="H5" i="27"/>
  <c r="L5" i="27" s="1"/>
  <c r="L4" i="27"/>
  <c r="C3" i="27"/>
  <c r="D5" i="11"/>
  <c r="D64" i="11" s="1"/>
  <c r="B13" i="22"/>
  <c r="L5" i="11"/>
  <c r="D16" i="25"/>
  <c r="C16" i="25"/>
  <c r="B16" i="25"/>
  <c r="D15" i="25"/>
  <c r="C15" i="25"/>
  <c r="D11" i="25"/>
  <c r="C11" i="25"/>
  <c r="D3" i="25"/>
  <c r="D2" i="25"/>
  <c r="C2" i="25"/>
  <c r="C13" i="25" s="1"/>
  <c r="B2" i="25"/>
  <c r="B3" i="25" s="1"/>
  <c r="B68" i="26"/>
  <c r="B58" i="26"/>
  <c r="E28" i="26"/>
  <c r="H20" i="26" s="1"/>
  <c r="B69" i="26"/>
  <c r="B59" i="26"/>
  <c r="D48" i="26"/>
  <c r="D50" i="26" s="1"/>
  <c r="H47" i="26"/>
  <c r="H46" i="26"/>
  <c r="E45" i="26"/>
  <c r="I44" i="26"/>
  <c r="E44" i="26"/>
  <c r="C35" i="26"/>
  <c r="C37" i="26" s="1"/>
  <c r="V28" i="26"/>
  <c r="U27" i="26"/>
  <c r="L15" i="26"/>
  <c r="M15" i="26" s="1"/>
  <c r="L14" i="26"/>
  <c r="M14" i="26" s="1"/>
  <c r="H48" i="26" s="1"/>
  <c r="C13" i="26"/>
  <c r="E12" i="26"/>
  <c r="H10" i="26"/>
  <c r="H11" i="26" s="1"/>
  <c r="C43" i="26" s="1"/>
  <c r="L9" i="26"/>
  <c r="L8" i="26"/>
  <c r="C6" i="26"/>
  <c r="I29" i="26" s="1"/>
  <c r="H5" i="26"/>
  <c r="L5" i="26" s="1"/>
  <c r="L4" i="26"/>
  <c r="C3" i="26"/>
  <c r="L14" i="20"/>
  <c r="M14" i="20" s="1"/>
  <c r="C45" i="20"/>
  <c r="C44" i="20"/>
  <c r="C42" i="20"/>
  <c r="C40" i="20"/>
  <c r="C57" i="20"/>
  <c r="D54" i="20"/>
  <c r="D53" i="20"/>
  <c r="C34" i="20"/>
  <c r="C36" i="20" s="1"/>
  <c r="V27" i="20"/>
  <c r="U26" i="20"/>
  <c r="H19" i="20"/>
  <c r="B60" i="20" s="1"/>
  <c r="L13" i="20"/>
  <c r="M13" i="20" s="1"/>
  <c r="C13" i="20"/>
  <c r="E12" i="20"/>
  <c r="L8" i="20"/>
  <c r="L7" i="20"/>
  <c r="L6" i="20"/>
  <c r="H3" i="20"/>
  <c r="L3" i="20" s="1"/>
  <c r="L2" i="20"/>
  <c r="C3" i="20"/>
  <c r="B69" i="20" l="1"/>
  <c r="C59" i="20"/>
  <c r="B72" i="20" s="1"/>
  <c r="F57" i="20"/>
  <c r="F59" i="20" s="1"/>
  <c r="L9" i="11"/>
  <c r="I13" i="22"/>
  <c r="J13" i="22" s="1"/>
  <c r="J14" i="22" s="1"/>
  <c r="J15" i="22" s="1"/>
  <c r="D65" i="11"/>
  <c r="I48" i="26"/>
  <c r="C17" i="26"/>
  <c r="M5" i="27"/>
  <c r="C47" i="27"/>
  <c r="E47" i="27"/>
  <c r="D47" i="27"/>
  <c r="B62" i="26"/>
  <c r="B78" i="26"/>
  <c r="H6" i="27"/>
  <c r="H12" i="27" s="1"/>
  <c r="H18" i="27" s="1"/>
  <c r="H22" i="27" s="1"/>
  <c r="L10" i="27"/>
  <c r="M10" i="27" s="1"/>
  <c r="T27" i="27"/>
  <c r="V27" i="27" s="1"/>
  <c r="L20" i="27"/>
  <c r="C8" i="27"/>
  <c r="D19" i="11"/>
  <c r="D21" i="11" s="1"/>
  <c r="B11" i="25"/>
  <c r="C14" i="25"/>
  <c r="C20" i="25" s="1"/>
  <c r="B17" i="25"/>
  <c r="B14" i="25"/>
  <c r="D14" i="25"/>
  <c r="D20" i="25" s="1"/>
  <c r="C17" i="25"/>
  <c r="C3" i="25"/>
  <c r="B15" i="25"/>
  <c r="D17" i="25"/>
  <c r="B13" i="25"/>
  <c r="B20" i="25" s="1"/>
  <c r="I43" i="26"/>
  <c r="E43" i="26"/>
  <c r="F28" i="26"/>
  <c r="B5" i="28" s="1"/>
  <c r="M5" i="26"/>
  <c r="H6" i="26"/>
  <c r="L10" i="26"/>
  <c r="M10" i="26" s="1"/>
  <c r="L20" i="26"/>
  <c r="T27" i="26"/>
  <c r="V27" i="26" s="1"/>
  <c r="V29" i="26" s="1"/>
  <c r="V30" i="26" s="1"/>
  <c r="C8" i="26"/>
  <c r="C51" i="26"/>
  <c r="B64" i="26" s="1"/>
  <c r="C8" i="20"/>
  <c r="E6" i="20" s="1"/>
  <c r="M3" i="20"/>
  <c r="M8" i="20"/>
  <c r="H4" i="20"/>
  <c r="T26" i="20"/>
  <c r="V26" i="20" s="1"/>
  <c r="V28" i="20" s="1"/>
  <c r="V29" i="20" s="1"/>
  <c r="L17" i="20"/>
  <c r="H10" i="20"/>
  <c r="C41" i="20"/>
  <c r="L19" i="20"/>
  <c r="B73" i="20" l="1"/>
  <c r="B74" i="20" s="1"/>
  <c r="B86" i="20" s="1"/>
  <c r="B34" i="29" s="1"/>
  <c r="B35" i="29" s="1"/>
  <c r="B36" i="29" s="1"/>
  <c r="B87" i="20"/>
  <c r="C16" i="27"/>
  <c r="C17" i="27" s="1"/>
  <c r="F27" i="27" s="1"/>
  <c r="C10" i="20"/>
  <c r="B12" i="20" s="1"/>
  <c r="L18" i="26"/>
  <c r="L22" i="26" s="1"/>
  <c r="C29" i="26" s="1"/>
  <c r="B29" i="26" s="1"/>
  <c r="L18" i="27"/>
  <c r="L22" i="27" s="1"/>
  <c r="E6" i="27"/>
  <c r="C10" i="27"/>
  <c r="C31" i="27" s="1"/>
  <c r="B71" i="26"/>
  <c r="B73" i="26" s="1"/>
  <c r="B75" i="26" s="1"/>
  <c r="C5" i="28" s="1"/>
  <c r="G51" i="26"/>
  <c r="C10" i="26"/>
  <c r="E6" i="26"/>
  <c r="C42" i="26"/>
  <c r="H12" i="26"/>
  <c r="H18" i="26" s="1"/>
  <c r="H22" i="26" s="1"/>
  <c r="L21" i="20"/>
  <c r="B51" i="20"/>
  <c r="H11" i="20"/>
  <c r="H17" i="20" s="1"/>
  <c r="B88" i="20" l="1"/>
  <c r="H21" i="20"/>
  <c r="C41" i="27"/>
  <c r="B6" i="28"/>
  <c r="C43" i="20"/>
  <c r="C48" i="20" s="1"/>
  <c r="C17" i="20"/>
  <c r="F27" i="20" s="1"/>
  <c r="C21" i="20"/>
  <c r="C25" i="20" s="1"/>
  <c r="B25" i="20" s="1"/>
  <c r="B10" i="20"/>
  <c r="B17" i="27"/>
  <c r="B10" i="27"/>
  <c r="C21" i="27"/>
  <c r="B12" i="26"/>
  <c r="C21" i="26"/>
  <c r="C26" i="26" s="1"/>
  <c r="B10" i="26"/>
  <c r="B17" i="26"/>
  <c r="C50" i="26"/>
  <c r="I42" i="26"/>
  <c r="E42" i="26"/>
  <c r="E50" i="26" s="1"/>
  <c r="D5" i="28" s="1"/>
  <c r="E5" i="28" s="1"/>
  <c r="C28" i="20"/>
  <c r="B28" i="20" s="1"/>
  <c r="D51" i="20"/>
  <c r="D59" i="20" s="1"/>
  <c r="D4" i="28" s="1"/>
  <c r="B59" i="20"/>
  <c r="B61" i="20" l="1"/>
  <c r="B62" i="20" s="1"/>
  <c r="B78" i="20"/>
  <c r="C26" i="20"/>
  <c r="B17" i="20"/>
  <c r="H50" i="26"/>
  <c r="I50" i="26"/>
  <c r="C26" i="27"/>
  <c r="C32" i="27"/>
  <c r="C35" i="27" s="1"/>
  <c r="C52" i="26"/>
  <c r="B26" i="26"/>
  <c r="C27" i="26"/>
  <c r="C28" i="26" s="1"/>
  <c r="C27" i="20"/>
  <c r="B79" i="20" l="1"/>
  <c r="B90" i="20"/>
  <c r="C4" i="28" s="1"/>
  <c r="E4" i="28" s="1"/>
  <c r="B26" i="27"/>
  <c r="B8" i="22"/>
  <c r="B4" i="28"/>
  <c r="H18" i="20"/>
  <c r="B76" i="26"/>
  <c r="B28" i="26"/>
  <c r="C32" i="26"/>
  <c r="B32" i="26" s="1"/>
  <c r="B27" i="20"/>
  <c r="C31" i="20"/>
  <c r="B31" i="20" s="1"/>
  <c r="B92" i="20" l="1"/>
  <c r="C92" i="20"/>
  <c r="E51" i="20" s="1"/>
  <c r="C29" i="20"/>
  <c r="B95" i="20"/>
  <c r="C32" i="20" s="1"/>
  <c r="G44" i="26"/>
  <c r="B77" i="26"/>
  <c r="G43" i="26"/>
  <c r="G42" i="26"/>
  <c r="E52" i="20" l="1"/>
  <c r="E53" i="20"/>
  <c r="G50" i="26"/>
  <c r="G52" i="26" s="1"/>
  <c r="C30" i="26" s="1"/>
  <c r="B30" i="26" s="1"/>
  <c r="E59" i="20" l="1"/>
  <c r="C33" i="26"/>
  <c r="B33" i="26" s="1"/>
  <c r="B29" i="20"/>
  <c r="B32" i="20"/>
  <c r="C18" i="22" l="1"/>
  <c r="C19" i="22"/>
  <c r="C42" i="27"/>
  <c r="M46" i="24"/>
  <c r="M47" i="24"/>
  <c r="M48" i="24"/>
  <c r="M49" i="24"/>
  <c r="M50" i="24"/>
  <c r="M51" i="24"/>
  <c r="M52" i="24"/>
  <c r="M53" i="24"/>
  <c r="M45" i="24"/>
  <c r="L46" i="24"/>
  <c r="L47" i="24"/>
  <c r="L48" i="24"/>
  <c r="L49" i="24"/>
  <c r="L50" i="24"/>
  <c r="L51" i="24"/>
  <c r="L52" i="24"/>
  <c r="L53" i="24"/>
  <c r="L45" i="24"/>
  <c r="K46" i="24"/>
  <c r="K47" i="24"/>
  <c r="K48" i="24"/>
  <c r="K49" i="24"/>
  <c r="K50" i="24"/>
  <c r="K51" i="24"/>
  <c r="K52" i="24"/>
  <c r="K53" i="24"/>
  <c r="K45" i="24"/>
  <c r="C20" i="22" l="1"/>
  <c r="C21" i="22" s="1"/>
  <c r="E48" i="27"/>
  <c r="C48" i="27"/>
  <c r="D48" i="27"/>
  <c r="C43" i="27"/>
  <c r="Q121" i="24"/>
  <c r="Q122" i="24"/>
  <c r="Q123" i="24"/>
  <c r="Q120" i="24"/>
  <c r="P121" i="24"/>
  <c r="P122" i="24"/>
  <c r="P123" i="24"/>
  <c r="P120" i="24"/>
  <c r="O121" i="24"/>
  <c r="O122" i="24"/>
  <c r="O123" i="24"/>
  <c r="O120" i="24"/>
  <c r="L121" i="24"/>
  <c r="L122" i="24"/>
  <c r="L123" i="24"/>
  <c r="L120" i="24"/>
  <c r="K122" i="24"/>
  <c r="K123" i="24"/>
  <c r="K120" i="24"/>
  <c r="C121" i="24"/>
  <c r="C122" i="24"/>
  <c r="C123" i="24"/>
  <c r="C120" i="24"/>
  <c r="K121" i="24"/>
  <c r="S114" i="24"/>
  <c r="S115" i="24"/>
  <c r="S116" i="24"/>
  <c r="S117" i="24"/>
  <c r="S118" i="24"/>
  <c r="S113" i="24"/>
  <c r="Q113" i="24"/>
  <c r="Q114" i="24"/>
  <c r="Q115" i="24"/>
  <c r="Q116" i="24"/>
  <c r="Q117" i="24"/>
  <c r="Q118" i="24"/>
  <c r="P111" i="24"/>
  <c r="P113" i="24"/>
  <c r="P114" i="24"/>
  <c r="P115" i="24"/>
  <c r="P116" i="24"/>
  <c r="P117" i="24"/>
  <c r="P118" i="24"/>
  <c r="M111" i="24"/>
  <c r="M112" i="24"/>
  <c r="M113" i="24"/>
  <c r="M114" i="24"/>
  <c r="M115" i="24"/>
  <c r="M116" i="24"/>
  <c r="M117" i="24"/>
  <c r="M118" i="24"/>
  <c r="M110" i="24"/>
  <c r="L111" i="24"/>
  <c r="L113" i="24"/>
  <c r="L114" i="24"/>
  <c r="L115" i="24"/>
  <c r="L116" i="24"/>
  <c r="L117" i="24"/>
  <c r="L118" i="24"/>
  <c r="K111" i="24"/>
  <c r="Q111" i="24" s="1"/>
  <c r="K113" i="24"/>
  <c r="K114" i="24"/>
  <c r="K115" i="24"/>
  <c r="K116" i="24"/>
  <c r="K117" i="24"/>
  <c r="K118" i="24"/>
  <c r="I111" i="24"/>
  <c r="I114" i="24"/>
  <c r="I116" i="24"/>
  <c r="I117" i="24"/>
  <c r="I110" i="24"/>
  <c r="I112" i="24"/>
  <c r="I113" i="24"/>
  <c r="I115" i="24"/>
  <c r="I118" i="24"/>
  <c r="G110" i="24"/>
  <c r="L110" i="24" s="1"/>
  <c r="P110" i="24" s="1"/>
  <c r="H110" i="24"/>
  <c r="J110" i="24" s="1"/>
  <c r="G111" i="24"/>
  <c r="H111" i="24"/>
  <c r="J111" i="24" s="1"/>
  <c r="G112" i="24"/>
  <c r="L112" i="24" s="1"/>
  <c r="P112" i="24" s="1"/>
  <c r="H112" i="24"/>
  <c r="J112" i="24" s="1"/>
  <c r="G113" i="24"/>
  <c r="H113" i="24"/>
  <c r="J113" i="24" s="1"/>
  <c r="G114" i="24"/>
  <c r="H114" i="24"/>
  <c r="J114" i="24" s="1"/>
  <c r="G115" i="24"/>
  <c r="H115" i="24"/>
  <c r="J115" i="24" s="1"/>
  <c r="G116" i="24"/>
  <c r="H116" i="24"/>
  <c r="J116" i="24"/>
  <c r="G117" i="24"/>
  <c r="H117" i="24"/>
  <c r="J117" i="24" s="1"/>
  <c r="G118" i="24"/>
  <c r="H118" i="24"/>
  <c r="J118" i="24" s="1"/>
  <c r="I97" i="24"/>
  <c r="I98" i="24"/>
  <c r="I99" i="24"/>
  <c r="I96" i="24"/>
  <c r="G103" i="24"/>
  <c r="G104" i="24"/>
  <c r="G102" i="24"/>
  <c r="F104" i="24"/>
  <c r="H104" i="24" s="1"/>
  <c r="E104" i="24"/>
  <c r="F103" i="24"/>
  <c r="H103" i="24" s="1"/>
  <c r="E103" i="24"/>
  <c r="F102" i="24"/>
  <c r="I102" i="24" s="1"/>
  <c r="E102" i="24"/>
  <c r="F101" i="24"/>
  <c r="H101" i="24" s="1"/>
  <c r="F100" i="24"/>
  <c r="I100" i="24" s="1"/>
  <c r="I84" i="24"/>
  <c r="I85" i="24"/>
  <c r="I86" i="24"/>
  <c r="I83" i="24"/>
  <c r="G90" i="24"/>
  <c r="G91" i="24"/>
  <c r="G89" i="24"/>
  <c r="F91" i="24"/>
  <c r="H91" i="24" s="1"/>
  <c r="E91" i="24"/>
  <c r="F90" i="24"/>
  <c r="H90" i="24" s="1"/>
  <c r="E90" i="24"/>
  <c r="F89" i="24"/>
  <c r="I89" i="24" s="1"/>
  <c r="E89" i="24"/>
  <c r="F88" i="24"/>
  <c r="I88" i="24" s="1"/>
  <c r="F87" i="24"/>
  <c r="I87" i="24" s="1"/>
  <c r="I71" i="24"/>
  <c r="I72" i="24"/>
  <c r="I73" i="24"/>
  <c r="I70" i="24"/>
  <c r="G77" i="24"/>
  <c r="G78" i="24"/>
  <c r="G76" i="24"/>
  <c r="F78" i="24"/>
  <c r="I78" i="24" s="1"/>
  <c r="E78" i="24"/>
  <c r="F77" i="24"/>
  <c r="H77" i="24" s="1"/>
  <c r="E77" i="24"/>
  <c r="F76" i="24"/>
  <c r="I76" i="24" s="1"/>
  <c r="E76" i="24"/>
  <c r="G75" i="24"/>
  <c r="F75" i="24"/>
  <c r="H75" i="24" s="1"/>
  <c r="F74" i="24"/>
  <c r="I74" i="24" s="1"/>
  <c r="I58" i="24"/>
  <c r="I59" i="24"/>
  <c r="I60" i="24"/>
  <c r="I57" i="24"/>
  <c r="G64" i="24"/>
  <c r="G65" i="24"/>
  <c r="G63" i="24"/>
  <c r="G62" i="24"/>
  <c r="F62" i="24"/>
  <c r="H62" i="24" s="1"/>
  <c r="F63" i="24"/>
  <c r="H63" i="24" s="1"/>
  <c r="F64" i="24"/>
  <c r="H64" i="24" s="1"/>
  <c r="F65" i="24"/>
  <c r="H65" i="24" s="1"/>
  <c r="F61" i="24"/>
  <c r="H61" i="24" s="1"/>
  <c r="E64" i="24"/>
  <c r="E65" i="24"/>
  <c r="E63" i="24"/>
  <c r="D41" i="24"/>
  <c r="D42" i="24" s="1"/>
  <c r="H46" i="24"/>
  <c r="J46" i="24" s="1"/>
  <c r="H47" i="24"/>
  <c r="J47" i="24" s="1"/>
  <c r="H48" i="24"/>
  <c r="J48" i="24" s="1"/>
  <c r="H49" i="24"/>
  <c r="J49" i="24" s="1"/>
  <c r="H50" i="24"/>
  <c r="J50" i="24" s="1"/>
  <c r="H51" i="24"/>
  <c r="J51" i="24" s="1"/>
  <c r="H52" i="24"/>
  <c r="J52" i="24" s="1"/>
  <c r="H53" i="24"/>
  <c r="J53" i="24" s="1"/>
  <c r="H45" i="24"/>
  <c r="J45" i="24" s="1"/>
  <c r="G46" i="24"/>
  <c r="G47" i="24"/>
  <c r="G48" i="24"/>
  <c r="G49" i="24"/>
  <c r="G50" i="24"/>
  <c r="G51" i="24"/>
  <c r="G52" i="24"/>
  <c r="G53" i="24"/>
  <c r="G45" i="24"/>
  <c r="D46" i="24"/>
  <c r="F46" i="24" s="1"/>
  <c r="I46" i="24" s="1"/>
  <c r="D47" i="24"/>
  <c r="F47" i="24" s="1"/>
  <c r="I47" i="24" s="1"/>
  <c r="D48" i="24"/>
  <c r="F48" i="24" s="1"/>
  <c r="I48" i="24" s="1"/>
  <c r="D49" i="24"/>
  <c r="F49" i="24" s="1"/>
  <c r="I49" i="24" s="1"/>
  <c r="D50" i="24"/>
  <c r="F50" i="24" s="1"/>
  <c r="I50" i="24" s="1"/>
  <c r="D51" i="24"/>
  <c r="F51" i="24" s="1"/>
  <c r="I51" i="24" s="1"/>
  <c r="D52" i="24"/>
  <c r="F52" i="24" s="1"/>
  <c r="I52" i="24" s="1"/>
  <c r="D53" i="24"/>
  <c r="F53" i="24" s="1"/>
  <c r="I53" i="24" s="1"/>
  <c r="D45" i="24"/>
  <c r="F45" i="24" s="1"/>
  <c r="I45" i="24" s="1"/>
  <c r="D49" i="27" l="1"/>
  <c r="D53" i="27" s="1"/>
  <c r="D56" i="27" s="1"/>
  <c r="D57" i="27" s="1"/>
  <c r="D59" i="27" s="1"/>
  <c r="E49" i="27"/>
  <c r="E53" i="27" s="1"/>
  <c r="E56" i="27" s="1"/>
  <c r="E57" i="27" s="1"/>
  <c r="E59" i="27" s="1"/>
  <c r="E60" i="27" s="1"/>
  <c r="C49" i="27"/>
  <c r="C56" i="27" s="1"/>
  <c r="C57" i="27" s="1"/>
  <c r="C59" i="27" s="1"/>
  <c r="C60" i="27" s="1"/>
  <c r="K112" i="24"/>
  <c r="Q112" i="24" s="1"/>
  <c r="K110" i="24"/>
  <c r="Q110" i="24" s="1"/>
  <c r="I62" i="24"/>
  <c r="I91" i="24"/>
  <c r="H102" i="24"/>
  <c r="H89" i="24"/>
  <c r="I103" i="24"/>
  <c r="H76" i="24"/>
  <c r="I104" i="24"/>
  <c r="I64" i="24"/>
  <c r="I90" i="24"/>
  <c r="H100" i="24"/>
  <c r="H88" i="24"/>
  <c r="I101" i="24"/>
  <c r="I77" i="24"/>
  <c r="H78" i="24"/>
  <c r="H87" i="24"/>
  <c r="I63" i="24"/>
  <c r="H74" i="24"/>
  <c r="I61" i="24"/>
  <c r="I75" i="24"/>
  <c r="I65" i="24"/>
  <c r="C6" i="28" l="1"/>
  <c r="E6" i="28" s="1"/>
  <c r="D60" i="27"/>
  <c r="D7" i="24"/>
  <c r="E7" i="24"/>
  <c r="F7" i="24"/>
  <c r="G7" i="24"/>
  <c r="C7" i="24"/>
  <c r="M12" i="24"/>
  <c r="P12" i="24"/>
  <c r="R12" i="24"/>
  <c r="T12" i="24"/>
  <c r="U12" i="24"/>
  <c r="N12" i="24"/>
  <c r="U20" i="24"/>
  <c r="T20" i="24"/>
  <c r="R20" i="24"/>
  <c r="P20" i="24"/>
  <c r="N20" i="24"/>
  <c r="M20" i="24"/>
  <c r="M18" i="24"/>
  <c r="M19" i="24" s="1"/>
  <c r="U17" i="24"/>
  <c r="T17" i="24"/>
  <c r="R17" i="24"/>
  <c r="P17" i="24"/>
  <c r="N17" i="24"/>
  <c r="M17" i="24"/>
  <c r="M21" i="24" l="1"/>
  <c r="M22" i="24" s="1"/>
  <c r="M23" i="24" s="1"/>
  <c r="M24" i="24" s="1"/>
  <c r="N18" i="24"/>
  <c r="M25" i="24" l="1"/>
  <c r="M26" i="24"/>
  <c r="N19" i="24"/>
  <c r="N21" i="24" s="1"/>
  <c r="P18" i="24"/>
  <c r="D2" i="13"/>
  <c r="E2" i="13"/>
  <c r="F2" i="13"/>
  <c r="G2" i="13"/>
  <c r="H2" i="13"/>
  <c r="I2" i="13"/>
  <c r="J2" i="13"/>
  <c r="K2" i="13"/>
  <c r="L2" i="13"/>
  <c r="M2" i="13"/>
  <c r="N2" i="13"/>
  <c r="C2" i="13"/>
  <c r="C21" i="11"/>
  <c r="C20" i="11"/>
  <c r="R18" i="24" l="1"/>
  <c r="P19" i="24"/>
  <c r="P21" i="24" s="1"/>
  <c r="N22" i="24"/>
  <c r="N23" i="24" s="1"/>
  <c r="N24" i="24" s="1"/>
  <c r="N25" i="24" s="1"/>
  <c r="N26" i="24" s="1"/>
  <c r="H23" i="25"/>
  <c r="H24" i="25" s="1"/>
  <c r="P4" i="25" s="1"/>
  <c r="R4" i="25" s="1"/>
  <c r="G23" i="25"/>
  <c r="G24" i="25" s="1"/>
  <c r="P5" i="25" s="1"/>
  <c r="R5" i="25" s="1"/>
  <c r="G18" i="25"/>
  <c r="G16" i="25"/>
  <c r="J5" i="25"/>
  <c r="J6" i="25"/>
  <c r="J4" i="25"/>
  <c r="G3" i="25"/>
  <c r="K5" i="25" s="1"/>
  <c r="L5" i="25" s="1"/>
  <c r="M5" i="25" s="1"/>
  <c r="G10" i="24"/>
  <c r="C10" i="24"/>
  <c r="H8" i="24"/>
  <c r="I8" i="24" s="1"/>
  <c r="D10" i="24"/>
  <c r="E10" i="24"/>
  <c r="F10" i="24"/>
  <c r="D17" i="24"/>
  <c r="E17" i="24"/>
  <c r="F17" i="24"/>
  <c r="G17" i="24"/>
  <c r="H19" i="24"/>
  <c r="I19" i="24"/>
  <c r="C17" i="24"/>
  <c r="C15" i="24"/>
  <c r="C5" i="24"/>
  <c r="C6" i="24" s="1"/>
  <c r="E15" i="24"/>
  <c r="E23" i="24" s="1"/>
  <c r="E24" i="24" s="1"/>
  <c r="F15" i="24"/>
  <c r="F23" i="24" s="1"/>
  <c r="F24" i="24" s="1"/>
  <c r="G15" i="24"/>
  <c r="H15" i="24" s="1"/>
  <c r="I15" i="24" s="1"/>
  <c r="D15" i="24"/>
  <c r="D4" i="24"/>
  <c r="D5" i="24" s="1"/>
  <c r="D6" i="24" s="1"/>
  <c r="D36" i="24"/>
  <c r="D34" i="24"/>
  <c r="C33" i="24"/>
  <c r="C30" i="24" s="1"/>
  <c r="H21" i="24"/>
  <c r="I21" i="24" s="1"/>
  <c r="I18" i="24"/>
  <c r="H18" i="24"/>
  <c r="I17" i="24"/>
  <c r="H17" i="24"/>
  <c r="H16" i="24"/>
  <c r="I16" i="24" s="1"/>
  <c r="I5" i="24"/>
  <c r="H5" i="24"/>
  <c r="D35" i="24"/>
  <c r="C41" i="11"/>
  <c r="C42" i="11"/>
  <c r="G19" i="25" l="1"/>
  <c r="K6" i="25"/>
  <c r="L6" i="25" s="1"/>
  <c r="M6" i="25" s="1"/>
  <c r="P22" i="24"/>
  <c r="P23" i="24" s="1"/>
  <c r="P24" i="24" s="1"/>
  <c r="P25" i="24" s="1"/>
  <c r="P26" i="24" s="1"/>
  <c r="T18" i="24"/>
  <c r="R19" i="24"/>
  <c r="R21" i="24" s="1"/>
  <c r="D23" i="24"/>
  <c r="D24" i="24" s="1"/>
  <c r="K4" i="25"/>
  <c r="L4" i="25" s="1"/>
  <c r="M4" i="25" s="1"/>
  <c r="S4" i="25" s="1"/>
  <c r="P6" i="25"/>
  <c r="R6" i="25" s="1"/>
  <c r="S5" i="25"/>
  <c r="C11" i="24"/>
  <c r="C23" i="24"/>
  <c r="C24" i="24" s="1"/>
  <c r="G23" i="24"/>
  <c r="G24" i="24" s="1"/>
  <c r="D11" i="24"/>
  <c r="D30" i="24"/>
  <c r="E4" i="24"/>
  <c r="F4" i="24" s="1"/>
  <c r="F5" i="24" s="1"/>
  <c r="I3" i="24"/>
  <c r="H14" i="24"/>
  <c r="I14" i="24" s="1"/>
  <c r="H7" i="24"/>
  <c r="S6" i="25" l="1"/>
  <c r="R22" i="24"/>
  <c r="R23" i="24" s="1"/>
  <c r="R24" i="24" s="1"/>
  <c r="R25" i="24" s="1"/>
  <c r="R26" i="24" s="1"/>
  <c r="U18" i="24"/>
  <c r="U19" i="24" s="1"/>
  <c r="U21" i="24" s="1"/>
  <c r="T19" i="24"/>
  <c r="T21" i="24" s="1"/>
  <c r="F11" i="24"/>
  <c r="F6" i="24"/>
  <c r="E5" i="24"/>
  <c r="G4" i="24"/>
  <c r="G5" i="24" s="1"/>
  <c r="G6" i="24" s="1"/>
  <c r="H23" i="24"/>
  <c r="H25" i="24" s="1"/>
  <c r="I7" i="24"/>
  <c r="I23" i="24" s="1"/>
  <c r="I25" i="24" s="1"/>
  <c r="T22" i="24" l="1"/>
  <c r="T23" i="24" s="1"/>
  <c r="T24" i="24" s="1"/>
  <c r="T25" i="24" s="1"/>
  <c r="T26" i="24" s="1"/>
  <c r="U22" i="24"/>
  <c r="U23" i="24" s="1"/>
  <c r="U24" i="24" s="1"/>
  <c r="U25" i="24" s="1"/>
  <c r="U26" i="24" s="1"/>
  <c r="E11" i="24"/>
  <c r="E6" i="24"/>
  <c r="H3" i="24"/>
  <c r="G11" i="24"/>
  <c r="D2" i="16" l="1"/>
  <c r="E2" i="16"/>
  <c r="F2" i="16"/>
  <c r="G2" i="16"/>
  <c r="H2" i="16"/>
  <c r="I2" i="16"/>
  <c r="J2" i="16"/>
  <c r="K2" i="16"/>
  <c r="L2" i="16"/>
  <c r="M2" i="16"/>
  <c r="N2" i="16"/>
  <c r="C2" i="16"/>
  <c r="D2" i="15"/>
  <c r="E2" i="15"/>
  <c r="F2" i="15"/>
  <c r="G2" i="15"/>
  <c r="H2" i="15"/>
  <c r="I2" i="15"/>
  <c r="J2" i="15"/>
  <c r="K2" i="15"/>
  <c r="L2" i="15"/>
  <c r="M2" i="15"/>
  <c r="N2" i="15"/>
  <c r="C2" i="15"/>
  <c r="E2" i="14"/>
  <c r="F2" i="14"/>
  <c r="G2" i="14"/>
  <c r="H2" i="14"/>
  <c r="I2" i="14"/>
  <c r="J2" i="14"/>
  <c r="K2" i="14"/>
  <c r="L2" i="14"/>
  <c r="M2" i="14"/>
  <c r="N2" i="14"/>
  <c r="D2" i="14"/>
  <c r="C2" i="14"/>
  <c r="M15" i="11" l="1"/>
  <c r="B25" i="17"/>
  <c r="G36" i="11"/>
  <c r="G37" i="11"/>
  <c r="G38" i="11"/>
  <c r="G39" i="11"/>
  <c r="G41" i="11"/>
  <c r="G42" i="11"/>
  <c r="H38" i="11"/>
  <c r="I38" i="11"/>
  <c r="D61" i="17"/>
  <c r="D59" i="17"/>
  <c r="C58" i="17"/>
  <c r="C55" i="17" s="1"/>
  <c r="F42" i="17"/>
  <c r="G42" i="17" s="1"/>
  <c r="H42" i="17" s="1"/>
  <c r="I42" i="17" s="1"/>
  <c r="E42" i="17"/>
  <c r="D42" i="17"/>
  <c r="C42" i="17"/>
  <c r="F41" i="17"/>
  <c r="E41" i="17"/>
  <c r="D41" i="17"/>
  <c r="C41" i="17"/>
  <c r="C40" i="17"/>
  <c r="I39" i="17"/>
  <c r="H39" i="17"/>
  <c r="G39" i="17"/>
  <c r="F39" i="17"/>
  <c r="E39" i="17"/>
  <c r="D39" i="17"/>
  <c r="F38" i="17"/>
  <c r="F37" i="17"/>
  <c r="G37" i="17" s="1"/>
  <c r="H37" i="17" s="1"/>
  <c r="I37" i="17" s="1"/>
  <c r="E37" i="17"/>
  <c r="D37" i="17"/>
  <c r="F36" i="17"/>
  <c r="G36" i="17" s="1"/>
  <c r="H36" i="17" s="1"/>
  <c r="I36" i="17" s="1"/>
  <c r="E36" i="17"/>
  <c r="D36" i="17"/>
  <c r="F34" i="17"/>
  <c r="G34" i="17" s="1"/>
  <c r="H34" i="17" s="1"/>
  <c r="I34" i="17" s="1"/>
  <c r="E34" i="17"/>
  <c r="D34" i="17"/>
  <c r="C34" i="17"/>
  <c r="I31" i="17"/>
  <c r="H31" i="17"/>
  <c r="G31" i="17"/>
  <c r="F31" i="17"/>
  <c r="C14" i="17"/>
  <c r="C13" i="17"/>
  <c r="C7" i="17"/>
  <c r="D60" i="17" s="1"/>
  <c r="D5" i="17"/>
  <c r="D3" i="17" s="1"/>
  <c r="C4" i="17"/>
  <c r="B2" i="16"/>
  <c r="G32" i="11" s="1"/>
  <c r="G30" i="11"/>
  <c r="B23" i="16"/>
  <c r="B22" i="16"/>
  <c r="I21" i="16"/>
  <c r="I7" i="16" s="1"/>
  <c r="H21" i="16"/>
  <c r="G21" i="16"/>
  <c r="F21" i="16"/>
  <c r="F7" i="16" s="1"/>
  <c r="E21" i="16"/>
  <c r="D21" i="16"/>
  <c r="B20" i="16"/>
  <c r="J18" i="16"/>
  <c r="J21" i="16" s="1"/>
  <c r="C21" i="16"/>
  <c r="B17" i="16"/>
  <c r="B16" i="16"/>
  <c r="B14" i="16"/>
  <c r="B12" i="16"/>
  <c r="B11" i="16"/>
  <c r="B10" i="16"/>
  <c r="B9" i="16"/>
  <c r="B8" i="16"/>
  <c r="G7" i="16"/>
  <c r="D7" i="16"/>
  <c r="N6" i="16"/>
  <c r="M6" i="16"/>
  <c r="L6" i="16"/>
  <c r="K6" i="16"/>
  <c r="J6" i="16"/>
  <c r="I6" i="16"/>
  <c r="H6" i="16"/>
  <c r="G6" i="16"/>
  <c r="F6" i="16"/>
  <c r="E6" i="16"/>
  <c r="D6" i="16"/>
  <c r="C6" i="16"/>
  <c r="B6" i="16" s="1"/>
  <c r="B5" i="16"/>
  <c r="B4" i="16"/>
  <c r="G35" i="11" s="1"/>
  <c r="B3" i="16"/>
  <c r="G34" i="11" s="1"/>
  <c r="H39" i="11"/>
  <c r="I39" i="11"/>
  <c r="C14" i="11"/>
  <c r="B26" i="11" l="1"/>
  <c r="B77" i="11"/>
  <c r="B83" i="11" s="1"/>
  <c r="D14" i="11"/>
  <c r="D67" i="11"/>
  <c r="C67" i="11"/>
  <c r="F67" i="11"/>
  <c r="G67" i="11"/>
  <c r="E67" i="11"/>
  <c r="D3" i="28"/>
  <c r="M16" i="11"/>
  <c r="B25" i="11" s="1"/>
  <c r="G46" i="11"/>
  <c r="G47" i="11"/>
  <c r="E5" i="17"/>
  <c r="D55" i="17"/>
  <c r="C11" i="17"/>
  <c r="C15" i="17" s="1"/>
  <c r="D4" i="17"/>
  <c r="D6" i="17"/>
  <c r="D14" i="17"/>
  <c r="D13" i="17"/>
  <c r="F15" i="16"/>
  <c r="F24" i="16" s="1"/>
  <c r="D15" i="16"/>
  <c r="D24" i="16" s="1"/>
  <c r="G15" i="16"/>
  <c r="G24" i="16" s="1"/>
  <c r="I15" i="16"/>
  <c r="I24" i="16" s="1"/>
  <c r="K18" i="16"/>
  <c r="K21" i="16" s="1"/>
  <c r="C7" i="16"/>
  <c r="J7" i="16"/>
  <c r="J15" i="16" s="1"/>
  <c r="J24" i="16" s="1"/>
  <c r="K7" i="16"/>
  <c r="K15" i="16" s="1"/>
  <c r="K24" i="16" s="1"/>
  <c r="H7" i="16"/>
  <c r="H15" i="16" s="1"/>
  <c r="H24" i="16" s="1"/>
  <c r="C15" i="16"/>
  <c r="C24" i="16" s="1"/>
  <c r="E7" i="16"/>
  <c r="E15" i="16" s="1"/>
  <c r="E24" i="16" s="1"/>
  <c r="F34" i="11"/>
  <c r="F36" i="11"/>
  <c r="F37" i="11"/>
  <c r="F39" i="11"/>
  <c r="F41" i="11"/>
  <c r="F42" i="11"/>
  <c r="B4" i="15"/>
  <c r="F35" i="17" s="1"/>
  <c r="G35" i="17" s="1"/>
  <c r="H35" i="17" s="1"/>
  <c r="I35" i="17" s="1"/>
  <c r="D3" i="15"/>
  <c r="B3" i="15" s="1"/>
  <c r="E3" i="15"/>
  <c r="F3" i="15"/>
  <c r="G3" i="15"/>
  <c r="H3" i="15"/>
  <c r="I3" i="15"/>
  <c r="J3" i="15"/>
  <c r="K3" i="15"/>
  <c r="L3" i="15"/>
  <c r="M3" i="15"/>
  <c r="N3" i="15"/>
  <c r="C3" i="15"/>
  <c r="B23" i="15"/>
  <c r="B22" i="15"/>
  <c r="I21" i="15"/>
  <c r="I7" i="15" s="1"/>
  <c r="H21" i="15"/>
  <c r="G21" i="15"/>
  <c r="F21" i="15"/>
  <c r="F7" i="15" s="1"/>
  <c r="E21" i="15"/>
  <c r="I30" i="11" s="1"/>
  <c r="D21" i="15"/>
  <c r="H30" i="11" s="1"/>
  <c r="H29" i="11" s="1"/>
  <c r="B20" i="15"/>
  <c r="J18" i="15"/>
  <c r="J21" i="15" s="1"/>
  <c r="C21" i="15"/>
  <c r="B17" i="15"/>
  <c r="B16" i="15"/>
  <c r="B14" i="15"/>
  <c r="B12" i="15"/>
  <c r="B11" i="15"/>
  <c r="B10" i="15"/>
  <c r="B9" i="15"/>
  <c r="B8" i="15"/>
  <c r="G7" i="15"/>
  <c r="E7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B5" i="15"/>
  <c r="B2" i="15"/>
  <c r="D4" i="12"/>
  <c r="D2" i="12" s="1"/>
  <c r="D25" i="12" s="1"/>
  <c r="E4" i="12"/>
  <c r="F4" i="12"/>
  <c r="G4" i="12"/>
  <c r="H4" i="12"/>
  <c r="C4" i="12"/>
  <c r="E39" i="11"/>
  <c r="E41" i="11"/>
  <c r="H2" i="12"/>
  <c r="N6" i="14"/>
  <c r="M6" i="14"/>
  <c r="L6" i="14"/>
  <c r="K6" i="14"/>
  <c r="J6" i="14"/>
  <c r="I6" i="14"/>
  <c r="H6" i="14"/>
  <c r="G6" i="14"/>
  <c r="F6" i="14"/>
  <c r="E6" i="14"/>
  <c r="D6" i="14"/>
  <c r="C6" i="14"/>
  <c r="J18" i="14"/>
  <c r="J21" i="14" s="1"/>
  <c r="J7" i="14" s="1"/>
  <c r="J15" i="14" s="1"/>
  <c r="H21" i="14"/>
  <c r="H7" i="14" s="1"/>
  <c r="I21" i="14"/>
  <c r="I7" i="14" s="1"/>
  <c r="I15" i="14" s="1"/>
  <c r="J18" i="13"/>
  <c r="J21" i="13" s="1"/>
  <c r="J7" i="13" s="1"/>
  <c r="D36" i="11"/>
  <c r="C40" i="11"/>
  <c r="D6" i="13"/>
  <c r="E6" i="13"/>
  <c r="F6" i="13"/>
  <c r="G6" i="13"/>
  <c r="H6" i="13"/>
  <c r="I6" i="13"/>
  <c r="J6" i="13"/>
  <c r="K6" i="13"/>
  <c r="L6" i="13"/>
  <c r="M6" i="13"/>
  <c r="N6" i="13"/>
  <c r="C6" i="13"/>
  <c r="B23" i="14"/>
  <c r="B22" i="14"/>
  <c r="G21" i="14"/>
  <c r="G7" i="14" s="1"/>
  <c r="G15" i="14" s="1"/>
  <c r="F21" i="14"/>
  <c r="F7" i="14" s="1"/>
  <c r="E21" i="14"/>
  <c r="E7" i="14" s="1"/>
  <c r="D21" i="14"/>
  <c r="D7" i="14" s="1"/>
  <c r="B20" i="14"/>
  <c r="B17" i="14"/>
  <c r="B16" i="14"/>
  <c r="B14" i="14"/>
  <c r="B12" i="14"/>
  <c r="B11" i="14"/>
  <c r="E42" i="11" s="1"/>
  <c r="B10" i="14"/>
  <c r="B9" i="14"/>
  <c r="B8" i="14"/>
  <c r="B5" i="14"/>
  <c r="E36" i="11" s="1"/>
  <c r="B4" i="14"/>
  <c r="B9" i="12"/>
  <c r="C39" i="17" s="1"/>
  <c r="C11" i="12"/>
  <c r="D11" i="12"/>
  <c r="E11" i="12"/>
  <c r="F11" i="12"/>
  <c r="G11" i="12"/>
  <c r="H11" i="12"/>
  <c r="B5" i="12"/>
  <c r="C35" i="17" s="1"/>
  <c r="B6" i="12"/>
  <c r="C36" i="17" s="1"/>
  <c r="B7" i="12"/>
  <c r="C37" i="17" s="1"/>
  <c r="B12" i="12"/>
  <c r="B10" i="12"/>
  <c r="B14" i="12"/>
  <c r="B15" i="12"/>
  <c r="B16" i="12"/>
  <c r="B21" i="12"/>
  <c r="B23" i="12"/>
  <c r="B24" i="12"/>
  <c r="B4" i="13"/>
  <c r="B5" i="13"/>
  <c r="B11" i="13"/>
  <c r="D42" i="11" s="1"/>
  <c r="B8" i="13"/>
  <c r="D39" i="11" s="1"/>
  <c r="B9" i="13"/>
  <c r="B12" i="13"/>
  <c r="B14" i="13"/>
  <c r="B20" i="13"/>
  <c r="I21" i="13"/>
  <c r="I7" i="13" s="1"/>
  <c r="J15" i="13"/>
  <c r="J10" i="13"/>
  <c r="K10" i="13"/>
  <c r="L10" i="13"/>
  <c r="M10" i="13"/>
  <c r="N10" i="13"/>
  <c r="H21" i="13"/>
  <c r="H7" i="13" s="1"/>
  <c r="G21" i="13"/>
  <c r="G7" i="13" s="1"/>
  <c r="F21" i="13"/>
  <c r="F7" i="13" s="1"/>
  <c r="E21" i="13"/>
  <c r="D21" i="13"/>
  <c r="C21" i="13"/>
  <c r="C7" i="13" s="1"/>
  <c r="H10" i="13"/>
  <c r="G10" i="13"/>
  <c r="F15" i="13"/>
  <c r="D22" i="12"/>
  <c r="D8" i="12" s="1"/>
  <c r="E22" i="12"/>
  <c r="E8" i="12" s="1"/>
  <c r="E2" i="12" s="1"/>
  <c r="E25" i="12" s="1"/>
  <c r="F22" i="12"/>
  <c r="F8" i="12" s="1"/>
  <c r="F2" i="12" s="1"/>
  <c r="F25" i="12" s="1"/>
  <c r="G22" i="12"/>
  <c r="G8" i="12" s="1"/>
  <c r="G2" i="12" s="1"/>
  <c r="G25" i="12" s="1"/>
  <c r="H22" i="12"/>
  <c r="H8" i="12" s="1"/>
  <c r="C22" i="12"/>
  <c r="C8" i="12" s="1"/>
  <c r="C2" i="12" s="1"/>
  <c r="C25" i="12" s="1"/>
  <c r="C7" i="11"/>
  <c r="C4" i="11"/>
  <c r="C12" i="11" l="1"/>
  <c r="B4" i="22"/>
  <c r="D22" i="11"/>
  <c r="C65" i="11"/>
  <c r="I29" i="11"/>
  <c r="C36" i="11"/>
  <c r="C39" i="11"/>
  <c r="C37" i="11"/>
  <c r="F35" i="11"/>
  <c r="E35" i="11"/>
  <c r="E35" i="17"/>
  <c r="D35" i="11"/>
  <c r="D35" i="17"/>
  <c r="C35" i="11"/>
  <c r="F32" i="11"/>
  <c r="F33" i="17"/>
  <c r="E14" i="17"/>
  <c r="E6" i="17"/>
  <c r="E13" i="17"/>
  <c r="E4" i="17"/>
  <c r="F5" i="17"/>
  <c r="B16" i="17"/>
  <c r="C17" i="17"/>
  <c r="C18" i="17" s="1"/>
  <c r="D6" i="11"/>
  <c r="L18" i="16"/>
  <c r="F15" i="15"/>
  <c r="F24" i="15" s="1"/>
  <c r="E15" i="14"/>
  <c r="K18" i="14"/>
  <c r="L18" i="14" s="1"/>
  <c r="L21" i="16"/>
  <c r="M18" i="16"/>
  <c r="E15" i="15"/>
  <c r="E24" i="15" s="1"/>
  <c r="I15" i="15"/>
  <c r="I24" i="15" s="1"/>
  <c r="G15" i="15"/>
  <c r="G24" i="15" s="1"/>
  <c r="C7" i="15"/>
  <c r="C15" i="15" s="1"/>
  <c r="C24" i="15" s="1"/>
  <c r="J7" i="15"/>
  <c r="J15" i="15" s="1"/>
  <c r="J24" i="15" s="1"/>
  <c r="K18" i="15"/>
  <c r="H7" i="15"/>
  <c r="H15" i="15" s="1"/>
  <c r="H24" i="15" s="1"/>
  <c r="D7" i="15"/>
  <c r="D15" i="15" s="1"/>
  <c r="D24" i="15" s="1"/>
  <c r="D15" i="14"/>
  <c r="F15" i="14"/>
  <c r="H15" i="14"/>
  <c r="H35" i="11"/>
  <c r="I35" i="11" s="1"/>
  <c r="B3" i="14"/>
  <c r="E34" i="11" s="1"/>
  <c r="B6" i="14"/>
  <c r="E37" i="11" s="1"/>
  <c r="B6" i="13"/>
  <c r="D37" i="11" s="1"/>
  <c r="G15" i="13"/>
  <c r="G23" i="13" s="1"/>
  <c r="H15" i="13"/>
  <c r="H23" i="13" s="1"/>
  <c r="C15" i="13"/>
  <c r="C23" i="13" s="1"/>
  <c r="I15" i="13"/>
  <c r="I23" i="13" s="1"/>
  <c r="H37" i="11"/>
  <c r="I37" i="11" s="1"/>
  <c r="H42" i="11"/>
  <c r="I42" i="11" s="1"/>
  <c r="H36" i="11"/>
  <c r="I36" i="11" s="1"/>
  <c r="B3" i="13"/>
  <c r="D34" i="11" s="1"/>
  <c r="F23" i="13"/>
  <c r="K18" i="13"/>
  <c r="J23" i="13"/>
  <c r="M18" i="14"/>
  <c r="L21" i="14"/>
  <c r="L7" i="14" s="1"/>
  <c r="L15" i="14" s="1"/>
  <c r="B11" i="12"/>
  <c r="B2" i="14"/>
  <c r="B3" i="12"/>
  <c r="B8" i="12"/>
  <c r="B4" i="12"/>
  <c r="B22" i="12"/>
  <c r="B2" i="13"/>
  <c r="B10" i="13"/>
  <c r="D41" i="11" s="1"/>
  <c r="D7" i="13"/>
  <c r="D15" i="13" s="1"/>
  <c r="D23" i="13" s="1"/>
  <c r="E7" i="13"/>
  <c r="E15" i="13" s="1"/>
  <c r="E23" i="13" s="1"/>
  <c r="H25" i="12"/>
  <c r="D3" i="11"/>
  <c r="D4" i="11"/>
  <c r="E5" i="11"/>
  <c r="E64" i="11" s="1"/>
  <c r="B9" i="22" l="1"/>
  <c r="B30" i="22"/>
  <c r="B34" i="22" s="1"/>
  <c r="B35" i="22" s="1"/>
  <c r="L6" i="11"/>
  <c r="L8" i="11" s="1"/>
  <c r="B14" i="22"/>
  <c r="D55" i="11"/>
  <c r="D59" i="11" s="1"/>
  <c r="D56" i="11"/>
  <c r="D60" i="11" s="1"/>
  <c r="D25" i="11"/>
  <c r="D26" i="11"/>
  <c r="D23" i="11"/>
  <c r="C3" i="28"/>
  <c r="E3" i="28" s="1"/>
  <c r="E65" i="11"/>
  <c r="C31" i="17"/>
  <c r="C30" i="11"/>
  <c r="C38" i="17"/>
  <c r="C38" i="11"/>
  <c r="E19" i="11"/>
  <c r="E21" i="11" s="1"/>
  <c r="E22" i="11" s="1"/>
  <c r="H34" i="11"/>
  <c r="I34" i="11" s="1"/>
  <c r="F47" i="17"/>
  <c r="F48" i="17" s="1"/>
  <c r="F49" i="17" s="1"/>
  <c r="F50" i="17" s="1"/>
  <c r="G33" i="17"/>
  <c r="E32" i="11"/>
  <c r="E33" i="17"/>
  <c r="D33" i="17"/>
  <c r="C32" i="11"/>
  <c r="C33" i="17"/>
  <c r="C47" i="17" s="1"/>
  <c r="C20" i="17"/>
  <c r="F6" i="17"/>
  <c r="F4" i="17"/>
  <c r="F13" i="17"/>
  <c r="F14" i="17"/>
  <c r="G5" i="17"/>
  <c r="D17" i="17"/>
  <c r="D18" i="17" s="1"/>
  <c r="B17" i="17"/>
  <c r="E14" i="11"/>
  <c r="K21" i="14"/>
  <c r="K7" i="14" s="1"/>
  <c r="K15" i="14" s="1"/>
  <c r="L7" i="16"/>
  <c r="N18" i="16"/>
  <c r="N21" i="16" s="1"/>
  <c r="M21" i="16"/>
  <c r="K21" i="15"/>
  <c r="L18" i="15"/>
  <c r="B2" i="12"/>
  <c r="B25" i="12" s="1"/>
  <c r="C34" i="11"/>
  <c r="D32" i="11"/>
  <c r="K21" i="13"/>
  <c r="L18" i="13"/>
  <c r="N18" i="14"/>
  <c r="N21" i="14" s="1"/>
  <c r="N7" i="14" s="1"/>
  <c r="N15" i="14" s="1"/>
  <c r="M21" i="14"/>
  <c r="M7" i="14" s="1"/>
  <c r="M15" i="14" s="1"/>
  <c r="D16" i="11"/>
  <c r="E6" i="11"/>
  <c r="E4" i="11"/>
  <c r="F5" i="11"/>
  <c r="F64" i="11" s="1"/>
  <c r="C47" i="11" l="1"/>
  <c r="L14" i="11"/>
  <c r="L10" i="11"/>
  <c r="C15" i="11"/>
  <c r="B3" i="28"/>
  <c r="E55" i="11"/>
  <c r="E59" i="11" s="1"/>
  <c r="E56" i="11"/>
  <c r="E60" i="11" s="1"/>
  <c r="E26" i="11"/>
  <c r="F65" i="11"/>
  <c r="E23" i="11"/>
  <c r="E25" i="11"/>
  <c r="C48" i="17"/>
  <c r="C49" i="17" s="1"/>
  <c r="F19" i="11"/>
  <c r="F21" i="11" s="1"/>
  <c r="F22" i="11" s="1"/>
  <c r="H32" i="11"/>
  <c r="I32" i="11" s="1"/>
  <c r="C46" i="11"/>
  <c r="C48" i="11" s="1"/>
  <c r="H33" i="17"/>
  <c r="G47" i="17"/>
  <c r="G48" i="17" s="1"/>
  <c r="G49" i="17" s="1"/>
  <c r="G50" i="17" s="1"/>
  <c r="C25" i="17"/>
  <c r="C26" i="17" s="1"/>
  <c r="C22" i="17"/>
  <c r="C23" i="17" s="1"/>
  <c r="H5" i="17"/>
  <c r="G14" i="17"/>
  <c r="G4" i="17"/>
  <c r="G13" i="17"/>
  <c r="G6" i="17"/>
  <c r="E17" i="17"/>
  <c r="F17" i="17" s="1"/>
  <c r="F14" i="11"/>
  <c r="M7" i="16"/>
  <c r="M15" i="16" s="1"/>
  <c r="M24" i="16" s="1"/>
  <c r="L15" i="16"/>
  <c r="L24" i="16" s="1"/>
  <c r="N7" i="16"/>
  <c r="N15" i="16" s="1"/>
  <c r="N24" i="16" s="1"/>
  <c r="B21" i="16"/>
  <c r="L21" i="15"/>
  <c r="M18" i="15"/>
  <c r="K7" i="15"/>
  <c r="K7" i="13"/>
  <c r="L21" i="13"/>
  <c r="M18" i="13"/>
  <c r="E16" i="11"/>
  <c r="F6" i="11"/>
  <c r="G5" i="11"/>
  <c r="F4" i="11"/>
  <c r="C71" i="11" l="1"/>
  <c r="E71" i="11"/>
  <c r="D15" i="11"/>
  <c r="E15" i="11" s="1"/>
  <c r="F15" i="11" s="1"/>
  <c r="G15" i="11" s="1"/>
  <c r="D71" i="11"/>
  <c r="G71" i="11"/>
  <c r="F71" i="11"/>
  <c r="B87" i="11"/>
  <c r="L15" i="11"/>
  <c r="E28" i="11" s="1"/>
  <c r="G64" i="11"/>
  <c r="B99" i="11"/>
  <c r="F56" i="11"/>
  <c r="F60" i="11" s="1"/>
  <c r="F55" i="11"/>
  <c r="F59" i="11" s="1"/>
  <c r="G65" i="11"/>
  <c r="C49" i="11"/>
  <c r="C68" i="11"/>
  <c r="C70" i="11" s="1"/>
  <c r="F26" i="11"/>
  <c r="F23" i="11"/>
  <c r="F25" i="11"/>
  <c r="D20" i="17"/>
  <c r="D21" i="17" s="1"/>
  <c r="G19" i="11"/>
  <c r="G21" i="11" s="1"/>
  <c r="G22" i="11" s="1"/>
  <c r="D25" i="17"/>
  <c r="D26" i="17" s="1"/>
  <c r="D22" i="17"/>
  <c r="D23" i="17" s="1"/>
  <c r="H47" i="17"/>
  <c r="H48" i="17" s="1"/>
  <c r="H49" i="17" s="1"/>
  <c r="H50" i="17" s="1"/>
  <c r="I33" i="17"/>
  <c r="I47" i="17" s="1"/>
  <c r="I48" i="17" s="1"/>
  <c r="I49" i="17" s="1"/>
  <c r="I50" i="17" s="1"/>
  <c r="H6" i="17"/>
  <c r="H14" i="17"/>
  <c r="H13" i="17"/>
  <c r="H4" i="17"/>
  <c r="I5" i="17"/>
  <c r="E18" i="17"/>
  <c r="F18" i="17"/>
  <c r="G17" i="17"/>
  <c r="G14" i="11"/>
  <c r="B7" i="16"/>
  <c r="B15" i="16" s="1"/>
  <c r="B24" i="16" s="1"/>
  <c r="N18" i="15"/>
  <c r="N21" i="15" s="1"/>
  <c r="M21" i="15"/>
  <c r="L7" i="15"/>
  <c r="L15" i="15" s="1"/>
  <c r="L24" i="15" s="1"/>
  <c r="B21" i="15"/>
  <c r="F30" i="11" s="1"/>
  <c r="K15" i="15"/>
  <c r="K24" i="15" s="1"/>
  <c r="N18" i="13"/>
  <c r="M21" i="13"/>
  <c r="L7" i="13"/>
  <c r="L15" i="13" s="1"/>
  <c r="L23" i="13" s="1"/>
  <c r="K15" i="13"/>
  <c r="K23" i="13" s="1"/>
  <c r="F16" i="11"/>
  <c r="G6" i="11"/>
  <c r="G4" i="11"/>
  <c r="H5" i="11"/>
  <c r="C73" i="11" l="1"/>
  <c r="C74" i="11" s="1"/>
  <c r="C75" i="11" s="1"/>
  <c r="E27" i="11"/>
  <c r="B78" i="11"/>
  <c r="D27" i="11"/>
  <c r="D28" i="11"/>
  <c r="G56" i="11"/>
  <c r="G60" i="11" s="1"/>
  <c r="G55" i="11"/>
  <c r="G59" i="11" s="1"/>
  <c r="F28" i="11"/>
  <c r="F27" i="11"/>
  <c r="G26" i="11"/>
  <c r="G23" i="11"/>
  <c r="G25" i="11"/>
  <c r="G29" i="11"/>
  <c r="I6" i="17"/>
  <c r="I13" i="17"/>
  <c r="I14" i="17"/>
  <c r="I4" i="17"/>
  <c r="H17" i="17"/>
  <c r="G18" i="17"/>
  <c r="H14" i="11"/>
  <c r="H16" i="11" s="1"/>
  <c r="H15" i="11"/>
  <c r="M7" i="15"/>
  <c r="N7" i="15"/>
  <c r="N15" i="15" s="1"/>
  <c r="N24" i="15" s="1"/>
  <c r="M7" i="13"/>
  <c r="N21" i="13"/>
  <c r="N7" i="13" s="1"/>
  <c r="N15" i="13" s="1"/>
  <c r="C21" i="14"/>
  <c r="B21" i="13"/>
  <c r="D31" i="17" s="1"/>
  <c r="I46" i="11"/>
  <c r="I48" i="11" s="1"/>
  <c r="I49" i="11" s="1"/>
  <c r="I50" i="11" s="1"/>
  <c r="H19" i="11"/>
  <c r="H6" i="11"/>
  <c r="H4" i="11"/>
  <c r="I5" i="11"/>
  <c r="G16" i="11"/>
  <c r="G48" i="11"/>
  <c r="H46" i="11"/>
  <c r="H48" i="11" s="1"/>
  <c r="H49" i="11" s="1"/>
  <c r="H50" i="11" s="1"/>
  <c r="C77" i="11" l="1"/>
  <c r="C81" i="11"/>
  <c r="C86" i="11" s="1"/>
  <c r="C90" i="11" s="1"/>
  <c r="C82" i="11"/>
  <c r="C87" i="11" s="1"/>
  <c r="C91" i="11" s="1"/>
  <c r="C83" i="11"/>
  <c r="C78" i="11"/>
  <c r="C79" i="11" s="1"/>
  <c r="G49" i="11"/>
  <c r="G50" i="11" s="1"/>
  <c r="G68" i="11"/>
  <c r="G70" i="11" s="1"/>
  <c r="G73" i="11" s="1"/>
  <c r="B100" i="11" s="1"/>
  <c r="B103" i="11" s="1"/>
  <c r="G27" i="11"/>
  <c r="G28" i="11"/>
  <c r="I17" i="17"/>
  <c r="I18" i="17" s="1"/>
  <c r="H18" i="17"/>
  <c r="I14" i="11"/>
  <c r="I16" i="11" s="1"/>
  <c r="I15" i="11"/>
  <c r="M15" i="15"/>
  <c r="M24" i="15" s="1"/>
  <c r="B7" i="15"/>
  <c r="D30" i="11"/>
  <c r="C7" i="14"/>
  <c r="B21" i="14"/>
  <c r="M15" i="13"/>
  <c r="M23" i="13" s="1"/>
  <c r="B7" i="13"/>
  <c r="D38" i="17" s="1"/>
  <c r="D47" i="17" s="1"/>
  <c r="D48" i="17" s="1"/>
  <c r="I4" i="11"/>
  <c r="I19" i="11"/>
  <c r="I6" i="11"/>
  <c r="G81" i="11" l="1"/>
  <c r="G86" i="11" s="1"/>
  <c r="G90" i="11" s="1"/>
  <c r="G82" i="11"/>
  <c r="G87" i="11" s="1"/>
  <c r="G91" i="11" s="1"/>
  <c r="G77" i="11"/>
  <c r="G78" i="11" s="1"/>
  <c r="G79" i="11" s="1"/>
  <c r="G74" i="11"/>
  <c r="G75" i="11" s="1"/>
  <c r="G83" i="11"/>
  <c r="E31" i="17"/>
  <c r="E30" i="17" s="1"/>
  <c r="E30" i="11"/>
  <c r="F29" i="11" s="1"/>
  <c r="D49" i="17"/>
  <c r="D50" i="17" s="1"/>
  <c r="E20" i="17"/>
  <c r="B15" i="15"/>
  <c r="B24" i="15" s="1"/>
  <c r="F38" i="11"/>
  <c r="F46" i="11" s="1"/>
  <c r="B7" i="14"/>
  <c r="E38" i="17" s="1"/>
  <c r="E47" i="17" s="1"/>
  <c r="C15" i="14"/>
  <c r="B15" i="13"/>
  <c r="B23" i="13" s="1"/>
  <c r="D38" i="11"/>
  <c r="D46" i="11" s="1"/>
  <c r="E29" i="11" l="1"/>
  <c r="E48" i="17"/>
  <c r="E25" i="17"/>
  <c r="E26" i="17" s="1"/>
  <c r="E22" i="17"/>
  <c r="E23" i="17" s="1"/>
  <c r="E21" i="17"/>
  <c r="F48" i="11"/>
  <c r="F47" i="11"/>
  <c r="D48" i="11"/>
  <c r="D47" i="11"/>
  <c r="H22" i="11"/>
  <c r="B15" i="14"/>
  <c r="E38" i="11"/>
  <c r="E46" i="11" s="1"/>
  <c r="D49" i="11" l="1"/>
  <c r="D50" i="11" s="1"/>
  <c r="D68" i="11"/>
  <c r="D70" i="11" s="1"/>
  <c r="D73" i="11" s="1"/>
  <c r="F49" i="11"/>
  <c r="F50" i="11" s="1"/>
  <c r="F68" i="11"/>
  <c r="F70" i="11" s="1"/>
  <c r="F73" i="11" s="1"/>
  <c r="H24" i="11"/>
  <c r="H25" i="11"/>
  <c r="E49" i="17"/>
  <c r="E50" i="17" s="1"/>
  <c r="F20" i="17"/>
  <c r="G20" i="17"/>
  <c r="E48" i="11"/>
  <c r="E47" i="11"/>
  <c r="I22" i="11"/>
  <c r="F81" i="11" l="1"/>
  <c r="F86" i="11" s="1"/>
  <c r="F90" i="11" s="1"/>
  <c r="F82" i="11"/>
  <c r="F87" i="11" s="1"/>
  <c r="F91" i="11" s="1"/>
  <c r="D82" i="11"/>
  <c r="D87" i="11" s="1"/>
  <c r="D91" i="11" s="1"/>
  <c r="D81" i="11"/>
  <c r="D86" i="11" s="1"/>
  <c r="D90" i="11" s="1"/>
  <c r="F74" i="11"/>
  <c r="F75" i="11" s="1"/>
  <c r="F77" i="11"/>
  <c r="F78" i="11" s="1"/>
  <c r="F79" i="11" s="1"/>
  <c r="F83" i="11"/>
  <c r="D74" i="11"/>
  <c r="D75" i="11" s="1"/>
  <c r="D77" i="11"/>
  <c r="D78" i="11" s="1"/>
  <c r="D79" i="11" s="1"/>
  <c r="D83" i="11"/>
  <c r="E49" i="11"/>
  <c r="E50" i="11" s="1"/>
  <c r="E68" i="11"/>
  <c r="E70" i="11" s="1"/>
  <c r="E73" i="11" s="1"/>
  <c r="I24" i="11"/>
  <c r="I25" i="11"/>
  <c r="G22" i="17"/>
  <c r="G23" i="17" s="1"/>
  <c r="G21" i="17"/>
  <c r="G25" i="17"/>
  <c r="G26" i="17" s="1"/>
  <c r="F21" i="17"/>
  <c r="F25" i="17"/>
  <c r="F26" i="17" s="1"/>
  <c r="F22" i="17"/>
  <c r="F23" i="17" s="1"/>
  <c r="H18" i="11"/>
  <c r="H20" i="11" s="1"/>
  <c r="H17" i="11"/>
  <c r="N23" i="13"/>
  <c r="N24" i="14"/>
  <c r="B24" i="14"/>
  <c r="C24" i="14"/>
  <c r="F24" i="14"/>
  <c r="J24" i="14"/>
  <c r="I24" i="14"/>
  <c r="H24" i="14"/>
  <c r="E24" i="14"/>
  <c r="G24" i="14"/>
  <c r="K24" i="14"/>
  <c r="L24" i="14"/>
  <c r="M24" i="14"/>
  <c r="D24" i="14"/>
  <c r="E82" i="11" l="1"/>
  <c r="E87" i="11" s="1"/>
  <c r="E91" i="11" s="1"/>
  <c r="E81" i="11"/>
  <c r="E86" i="11" s="1"/>
  <c r="E90" i="11" s="1"/>
  <c r="E74" i="11"/>
  <c r="E75" i="11" s="1"/>
  <c r="E77" i="11"/>
  <c r="E78" i="11" s="1"/>
  <c r="E79" i="11" s="1"/>
  <c r="E83" i="11"/>
  <c r="I17" i="11"/>
  <c r="I18" i="11"/>
  <c r="I20" i="11" s="1"/>
</calcChain>
</file>

<file path=xl/sharedStrings.xml><?xml version="1.0" encoding="utf-8"?>
<sst xmlns="http://schemas.openxmlformats.org/spreadsheetml/2006/main" count="1047" uniqueCount="513">
  <si>
    <t>Yr #</t>
  </si>
  <si>
    <t>Property Valuation</t>
  </si>
  <si>
    <t>StampDuty</t>
  </si>
  <si>
    <t>Closing cost + Due Diligence</t>
  </si>
  <si>
    <t>Finders fee</t>
  </si>
  <si>
    <t>Operating Reserve &amp; Repairs</t>
  </si>
  <si>
    <t>Total Cost</t>
  </si>
  <si>
    <t>Market Valuation (MV)</t>
  </si>
  <si>
    <t>Senior Loan</t>
  </si>
  <si>
    <t>Cash required to settle</t>
  </si>
  <si>
    <t>Equity</t>
  </si>
  <si>
    <t>Vivek</t>
  </si>
  <si>
    <t>Sharath</t>
  </si>
  <si>
    <t>Financial Year</t>
  </si>
  <si>
    <t>1 (6 Months)</t>
  </si>
  <si>
    <t xml:space="preserve">Year </t>
  </si>
  <si>
    <t>Capital Growth</t>
  </si>
  <si>
    <t>Rental Income Growth</t>
  </si>
  <si>
    <t>No of unit available for rent</t>
  </si>
  <si>
    <t>Average Rent per unit</t>
  </si>
  <si>
    <t>No. of weeks</t>
  </si>
  <si>
    <t>Cash Flow</t>
  </si>
  <si>
    <t>Annual Rental Income</t>
  </si>
  <si>
    <t>Expenes</t>
  </si>
  <si>
    <t>Council Rates</t>
  </si>
  <si>
    <t>Insurance</t>
  </si>
  <si>
    <t>Repairs &amp; Maintaince</t>
  </si>
  <si>
    <t>Property Management Fee</t>
  </si>
  <si>
    <t>Misc</t>
  </si>
  <si>
    <t>Land Tax</t>
  </si>
  <si>
    <t>Letting Fee</t>
  </si>
  <si>
    <t>Advertising</t>
  </si>
  <si>
    <t>Total Expense</t>
  </si>
  <si>
    <t>Net operating Profit</t>
  </si>
  <si>
    <t>Interest Only Payments for 70% LVR @ 6%</t>
  </si>
  <si>
    <t>Net Cashflow</t>
  </si>
  <si>
    <t>Net Yield / Cap Rate</t>
  </si>
  <si>
    <t>Feasibility</t>
  </si>
  <si>
    <t>Size of each unit</t>
  </si>
  <si>
    <t>Sqs</t>
  </si>
  <si>
    <t>Total Build area in Sqm</t>
  </si>
  <si>
    <t xml:space="preserve">Sqm </t>
  </si>
  <si>
    <t>Land area in sqm</t>
  </si>
  <si>
    <t>No of Dwellings</t>
  </si>
  <si>
    <t>Avg Dwellings sell price</t>
  </si>
  <si>
    <t>Total Sales</t>
  </si>
  <si>
    <t>GST on margin scheme</t>
  </si>
  <si>
    <t>Total Revenue</t>
  </si>
  <si>
    <t>All costs are GST exclusive</t>
  </si>
  <si>
    <t>Purchase price</t>
  </si>
  <si>
    <t>Stamp duty + buy in Fees</t>
  </si>
  <si>
    <t>Finders Fee</t>
  </si>
  <si>
    <t>Due Dilligence</t>
  </si>
  <si>
    <t>Acquisition cost</t>
  </si>
  <si>
    <t>Marketing &amp; selling cost</t>
  </si>
  <si>
    <t>Holding Cost</t>
  </si>
  <si>
    <t>Demo</t>
  </si>
  <si>
    <t>Misc cost</t>
  </si>
  <si>
    <t>Total Development Cost</t>
  </si>
  <si>
    <t>Total Project Cost before funding</t>
  </si>
  <si>
    <t>Profit Before Funding cost</t>
  </si>
  <si>
    <t>Financial Yr</t>
  </si>
  <si>
    <t>Valuation per block</t>
  </si>
  <si>
    <t>Increase In Value</t>
  </si>
  <si>
    <t>The is a land with 2 titles</t>
  </si>
  <si>
    <t>Can I nominate it as main residence to get CGT excemption - intention is to renovate a unit and move in - But we may consider to re-develop the land or sell it within 7 years.</t>
  </si>
  <si>
    <t>Can I borrow money from a friends SMSF as a personal loan towards Equity for the purchase. If that’s not possible, Homelsy Pty can borrow but how to I get that across towards  Equity towards Purchase</t>
  </si>
  <si>
    <t>Loan @ 70% LVR</t>
  </si>
  <si>
    <t xml:space="preserve">Equity required @ 30% purchase </t>
  </si>
  <si>
    <t>Private Funds Required incd costs</t>
  </si>
  <si>
    <t>JV at 80% Equity</t>
  </si>
  <si>
    <t>Dev Equity</t>
  </si>
  <si>
    <t>Dev Private Iinterest</t>
  </si>
  <si>
    <t>If sold Profit</t>
  </si>
  <si>
    <t>Profit Increase</t>
  </si>
  <si>
    <t>JV Proft Split</t>
  </si>
  <si>
    <t>dev Return %</t>
  </si>
  <si>
    <t>Dev Profit Split</t>
  </si>
  <si>
    <t>Dev Profit -minus Private Interest</t>
  </si>
  <si>
    <t>Cashflow</t>
  </si>
  <si>
    <t>Rental Growth</t>
  </si>
  <si>
    <t>Rev</t>
  </si>
  <si>
    <t>Interest Payments</t>
  </si>
  <si>
    <t>Landscaping</t>
  </si>
  <si>
    <t>Property Management</t>
  </si>
  <si>
    <t>Cap Rate</t>
  </si>
  <si>
    <t>Stage 1 Funding</t>
  </si>
  <si>
    <t>Stage 1</t>
  </si>
  <si>
    <t>Stage 2</t>
  </si>
  <si>
    <t>Total</t>
  </si>
  <si>
    <t>Deposit</t>
  </si>
  <si>
    <t>Spamp Duty</t>
  </si>
  <si>
    <t>Reno/ Repairs</t>
  </si>
  <si>
    <t>Closing costs</t>
  </si>
  <si>
    <t>Rent per unit per week</t>
  </si>
  <si>
    <t>Yield</t>
  </si>
  <si>
    <t>Total Expenses</t>
  </si>
  <si>
    <t>70% LVR on Value</t>
  </si>
  <si>
    <t>Outgoings</t>
  </si>
  <si>
    <t>Yr</t>
  </si>
  <si>
    <t>Site valuation</t>
  </si>
  <si>
    <t>ESM &amp; AESMR</t>
  </si>
  <si>
    <t>share in the deal</t>
  </si>
  <si>
    <t>LVR 70%</t>
  </si>
  <si>
    <t>Residue</t>
  </si>
  <si>
    <t>LandTax</t>
  </si>
  <si>
    <t>Excempt</t>
  </si>
  <si>
    <t>Closing costs incd taxes</t>
  </si>
  <si>
    <t>Equity left</t>
  </si>
  <si>
    <t>Equity paid out</t>
  </si>
  <si>
    <t>Total out goings</t>
  </si>
  <si>
    <t>Profit</t>
  </si>
  <si>
    <t>Expense per unit</t>
  </si>
  <si>
    <t>Investor share</t>
  </si>
  <si>
    <t>Investor Return</t>
  </si>
  <si>
    <t>Annual Return</t>
  </si>
  <si>
    <t>Krishna Return</t>
  </si>
  <si>
    <t>Proposed</t>
  </si>
  <si>
    <t>Units</t>
  </si>
  <si>
    <t>SDA Basic</t>
  </si>
  <si>
    <t>RRC</t>
  </si>
  <si>
    <t>SDA + RRC</t>
  </si>
  <si>
    <t>OOA Lease</t>
  </si>
  <si>
    <t>Total w/ SDA</t>
  </si>
  <si>
    <t>Total w/o SDA</t>
  </si>
  <si>
    <t>50% SDA Scenario</t>
  </si>
  <si>
    <t>Landlord Share (92%) Full SDA</t>
  </si>
  <si>
    <t>Landlord Share (92%) @ 50% SDA</t>
  </si>
  <si>
    <t>50% SDA @ 16%</t>
  </si>
  <si>
    <t>100% SDA @16%</t>
  </si>
  <si>
    <t>16% Fee</t>
  </si>
  <si>
    <t>50/50</t>
  </si>
  <si>
    <t>Total w/ SDA &amp; OOA</t>
  </si>
  <si>
    <t>Landlord Guaranteed</t>
  </si>
  <si>
    <t>Excess Rev @ 50% SDA</t>
  </si>
  <si>
    <t>Excess Rev @ Full SDA</t>
  </si>
  <si>
    <t>Acares Share @ 50% SDA</t>
  </si>
  <si>
    <t>Acares Share @ 100% SDA</t>
  </si>
  <si>
    <t>Landlord Share</t>
  </si>
  <si>
    <t>75/25 Split</t>
  </si>
  <si>
    <t>70/30</t>
  </si>
  <si>
    <t>60/40</t>
  </si>
  <si>
    <t>Current</t>
  </si>
  <si>
    <t>No SDA Landlord @ 8%</t>
  </si>
  <si>
    <t>Maintainance (15%)</t>
  </si>
  <si>
    <t>Rates</t>
  </si>
  <si>
    <t>xxxx</t>
  </si>
  <si>
    <t>Total Expenses Ex interest</t>
  </si>
  <si>
    <t>Net cash flow before interest</t>
  </si>
  <si>
    <t>Interest</t>
  </si>
  <si>
    <t>land Tax</t>
  </si>
  <si>
    <t>Inputs</t>
  </si>
  <si>
    <t>Servicability Requirements</t>
  </si>
  <si>
    <t>Loan Amt</t>
  </si>
  <si>
    <t>Net Income Req</t>
  </si>
  <si>
    <t>Fixed Expense</t>
  </si>
  <si>
    <t>Flexible Exp</t>
  </si>
  <si>
    <t>Net Rent</t>
  </si>
  <si>
    <t>Sinead IncomeNet</t>
  </si>
  <si>
    <t>Sub Total</t>
  </si>
  <si>
    <t>Net KR Salary</t>
  </si>
  <si>
    <t>KR Gross Saalry</t>
  </si>
  <si>
    <t>Interest rate assessed</t>
  </si>
  <si>
    <t>Buffer</t>
  </si>
  <si>
    <t>LVR 80%</t>
  </si>
  <si>
    <t>LVR 65%</t>
  </si>
  <si>
    <t>Servicability Ratio to Income</t>
  </si>
  <si>
    <t>Income Considered from Rent</t>
  </si>
  <si>
    <t>Vacancy Rate</t>
  </si>
  <si>
    <t>Monthly Household Expenses w/ 1 dependant</t>
  </si>
  <si>
    <t>Annual Expenses</t>
  </si>
  <si>
    <t>Monthly Expenses</t>
  </si>
  <si>
    <t>Flexible Expense</t>
  </si>
  <si>
    <t>657A Nepean Hwy Loan</t>
  </si>
  <si>
    <t xml:space="preserve">Rent </t>
  </si>
  <si>
    <t>Rental Income</t>
  </si>
  <si>
    <t>Net rental income (after 5% vacancy)</t>
  </si>
  <si>
    <t>Rental shading 90%</t>
  </si>
  <si>
    <t>Equity / cash Required</t>
  </si>
  <si>
    <t>Refinance Surplus</t>
  </si>
  <si>
    <t>Profit %</t>
  </si>
  <si>
    <t>Expenses</t>
  </si>
  <si>
    <t>Property Management 6%</t>
  </si>
  <si>
    <t>Leasing Fee 3%</t>
  </si>
  <si>
    <t>Income</t>
  </si>
  <si>
    <t>Rent Per Unit</t>
  </si>
  <si>
    <t>No. of Units Rented</t>
  </si>
  <si>
    <t>No. Of weeks</t>
  </si>
  <si>
    <t>Total Income</t>
  </si>
  <si>
    <t>Net Cash flow</t>
  </si>
  <si>
    <t>Totals</t>
  </si>
  <si>
    <t>Increase</t>
  </si>
  <si>
    <t>Closing Costs</t>
  </si>
  <si>
    <t>Finance cost</t>
  </si>
  <si>
    <t>Investors</t>
  </si>
  <si>
    <t>Investor 4</t>
  </si>
  <si>
    <t>Investor 5</t>
  </si>
  <si>
    <t xml:space="preserve">Total Cash Raised </t>
  </si>
  <si>
    <t>Accounting</t>
  </si>
  <si>
    <t>Money Partners</t>
  </si>
  <si>
    <t>Settlement</t>
  </si>
  <si>
    <t>Loan#</t>
  </si>
  <si>
    <t>Amt</t>
  </si>
  <si>
    <t>Month Loaned</t>
  </si>
  <si>
    <t>No. of Month</t>
  </si>
  <si>
    <t>Interest rate</t>
  </si>
  <si>
    <t>May</t>
  </si>
  <si>
    <t>Sell per Sq M</t>
  </si>
  <si>
    <t>Cost per Sqm</t>
  </si>
  <si>
    <t>Total Capital</t>
  </si>
  <si>
    <t>Ramakanth</t>
  </si>
  <si>
    <t>Accounting &amp; Legals</t>
  </si>
  <si>
    <t>Loan</t>
  </si>
  <si>
    <t>Capital amt</t>
  </si>
  <si>
    <t>Total Interest</t>
  </si>
  <si>
    <t>Utilities</t>
  </si>
  <si>
    <t>Senior Debt</t>
  </si>
  <si>
    <t>Total Funding Cost</t>
  </si>
  <si>
    <t>Funding cost establishment cost</t>
  </si>
  <si>
    <t>Burn Rate</t>
  </si>
  <si>
    <t>Rate</t>
  </si>
  <si>
    <t>Per month</t>
  </si>
  <si>
    <t>Private</t>
  </si>
  <si>
    <t>Funding Cost w/ money partners</t>
  </si>
  <si>
    <t>JV Partners cost</t>
  </si>
  <si>
    <t>Per block per month</t>
  </si>
  <si>
    <t>Profit After JV partners</t>
  </si>
  <si>
    <t>Funding</t>
  </si>
  <si>
    <t>Mortgage</t>
  </si>
  <si>
    <t>JV money</t>
  </si>
  <si>
    <t>Share</t>
  </si>
  <si>
    <t>Interest Rate</t>
  </si>
  <si>
    <t>Return JV</t>
  </si>
  <si>
    <t>MP</t>
  </si>
  <si>
    <t>Vijay</t>
  </si>
  <si>
    <t>Money Partner 5</t>
  </si>
  <si>
    <t>Ramakanth 6</t>
  </si>
  <si>
    <t>Difference</t>
  </si>
  <si>
    <t>Cash required</t>
  </si>
  <si>
    <t xml:space="preserve">Equity </t>
  </si>
  <si>
    <t>Stamp Duty</t>
  </si>
  <si>
    <t>Funding Costs</t>
  </si>
  <si>
    <t>Settleing Costs</t>
  </si>
  <si>
    <t>Total Cash Required</t>
  </si>
  <si>
    <t>Sale of Block 44</t>
  </si>
  <si>
    <t>Minus Comissions</t>
  </si>
  <si>
    <t>Margin Scheme</t>
  </si>
  <si>
    <t>Loan payable</t>
  </si>
  <si>
    <t>Balance</t>
  </si>
  <si>
    <t>Balance of loan</t>
  </si>
  <si>
    <t>Total Liabilities</t>
  </si>
  <si>
    <t>Sell block 2</t>
  </si>
  <si>
    <t>Selling cost</t>
  </si>
  <si>
    <t>Minus Marin Scheme</t>
  </si>
  <si>
    <t>Loan Payable</t>
  </si>
  <si>
    <t>Balance after repaying Invesrtor Money</t>
  </si>
  <si>
    <t>Profit before share for Investors</t>
  </si>
  <si>
    <t>Profit Share for Developer</t>
  </si>
  <si>
    <t>Pay Interest repayments</t>
  </si>
  <si>
    <t>Profit After Money Partners Funding</t>
  </si>
  <si>
    <t>Total Amt</t>
  </si>
  <si>
    <t>LVR</t>
  </si>
  <si>
    <t xml:space="preserve">As of 28th October </t>
  </si>
  <si>
    <t>Think Tank 70%</t>
  </si>
  <si>
    <t>Think Tank 80%</t>
  </si>
  <si>
    <t>Westpac 70%</t>
  </si>
  <si>
    <t>Loan Amount</t>
  </si>
  <si>
    <t>Equity Required</t>
  </si>
  <si>
    <t>Costs</t>
  </si>
  <si>
    <t>Establishment Fee</t>
  </si>
  <si>
    <t>Legals</t>
  </si>
  <si>
    <t>Settlement Fee</t>
  </si>
  <si>
    <t>Deffered Fee (months Interest)</t>
  </si>
  <si>
    <t>Interest per year</t>
  </si>
  <si>
    <t>Fee</t>
  </si>
  <si>
    <t>Total Fees</t>
  </si>
  <si>
    <t>Broker Fee</t>
  </si>
  <si>
    <t>Working Capital</t>
  </si>
  <si>
    <t>Capital stack</t>
  </si>
  <si>
    <t>Capital Stack</t>
  </si>
  <si>
    <t>Developer</t>
  </si>
  <si>
    <t>Total Investors</t>
  </si>
  <si>
    <t>Finance Cost</t>
  </si>
  <si>
    <t>Exit Model</t>
  </si>
  <si>
    <t>Sales commission-1.65%</t>
  </si>
  <si>
    <t>Cost of selling</t>
  </si>
  <si>
    <t>Profit $</t>
  </si>
  <si>
    <t>Developer Profit</t>
  </si>
  <si>
    <t>Developer share of profit</t>
  </si>
  <si>
    <t>Funding Fee</t>
  </si>
  <si>
    <t>Minus Net sales from 1 block</t>
  </si>
  <si>
    <t>Minus sales commission</t>
  </si>
  <si>
    <t>pay off loan amount</t>
  </si>
  <si>
    <t>Initial loan amount</t>
  </si>
  <si>
    <t>Minus Principle paid off</t>
  </si>
  <si>
    <t>Initial cash required</t>
  </si>
  <si>
    <t>Money partners</t>
  </si>
  <si>
    <t>JV partners contribution</t>
  </si>
  <si>
    <t>Money partners contribution</t>
  </si>
  <si>
    <t>JV Partners</t>
  </si>
  <si>
    <t>If sell the secon block</t>
  </si>
  <si>
    <t>Closing cost &amp; commision</t>
  </si>
  <si>
    <t>Margin scheme</t>
  </si>
  <si>
    <t>Y 1</t>
  </si>
  <si>
    <t>Yr 2</t>
  </si>
  <si>
    <t>Yr 3</t>
  </si>
  <si>
    <t>Interest on Senior lending</t>
  </si>
  <si>
    <t>Interest on money partners</t>
  </si>
  <si>
    <t>Total cost</t>
  </si>
  <si>
    <t>Balance profit project with Money Partners</t>
  </si>
  <si>
    <t>Balance with full JV @ 60%</t>
  </si>
  <si>
    <t>Developer share</t>
  </si>
  <si>
    <t>Sinario</t>
  </si>
  <si>
    <t>Sell both @ 70% LVR</t>
  </si>
  <si>
    <t>Sell both @ 80% LVR</t>
  </si>
  <si>
    <t>Sell 1 and hold 1 @ 70% LVR</t>
  </si>
  <si>
    <t>Project Profit</t>
  </si>
  <si>
    <t>JV Share</t>
  </si>
  <si>
    <t>\</t>
  </si>
  <si>
    <t>Rental Approach @ 70% LVR</t>
  </si>
  <si>
    <t>1 Yr</t>
  </si>
  <si>
    <t>Sale of Property</t>
  </si>
  <si>
    <t>Purchase Price</t>
  </si>
  <si>
    <t>Refinancing cost</t>
  </si>
  <si>
    <t>Refinancing</t>
  </si>
  <si>
    <t>Sales commission &amp; Marketing cost</t>
  </si>
  <si>
    <t>Finance Cost (settlement)</t>
  </si>
  <si>
    <t>Profit on cost</t>
  </si>
  <si>
    <t>Sale</t>
  </si>
  <si>
    <t>Net Rental cashflow incd outgoings</t>
  </si>
  <si>
    <t>Stage 1 Capital Raising</t>
  </si>
  <si>
    <t>%</t>
  </si>
  <si>
    <t>Stage 2 Capital Raising</t>
  </si>
  <si>
    <t>Stage 2 Formaula</t>
  </si>
  <si>
    <t>Capital contribution</t>
  </si>
  <si>
    <t>% share</t>
  </si>
  <si>
    <t>Share per 100%</t>
  </si>
  <si>
    <t>Investor Profit</t>
  </si>
  <si>
    <t>Investors returns % per Yr</t>
  </si>
  <si>
    <t>Total Investor Retunr</t>
  </si>
  <si>
    <t>val</t>
  </si>
  <si>
    <t>Investor  Returns</t>
  </si>
  <si>
    <t>Round 1</t>
  </si>
  <si>
    <t>Round 2</t>
  </si>
  <si>
    <t>Investor  Returnsn%</t>
  </si>
  <si>
    <t>Shortfall</t>
  </si>
  <si>
    <t>Share/ Rate</t>
  </si>
  <si>
    <t>Funders Fee</t>
  </si>
  <si>
    <t>Balance to pay loan</t>
  </si>
  <si>
    <t>Balance on loan</t>
  </si>
  <si>
    <t>JV Money</t>
  </si>
  <si>
    <t>JV share of the profit</t>
  </si>
  <si>
    <t>Money Partners Interest+ senior lender interest</t>
  </si>
  <si>
    <t>JV</t>
  </si>
  <si>
    <t>Profit Calculations</t>
  </si>
  <si>
    <t>Sale Price</t>
  </si>
  <si>
    <t>Min Commission</t>
  </si>
  <si>
    <t>Payback Investors Capital</t>
  </si>
  <si>
    <t>IRR</t>
  </si>
  <si>
    <t>Developer Profit Share</t>
  </si>
  <si>
    <t>Round 1 Investors</t>
  </si>
  <si>
    <t>Round 2 Investors</t>
  </si>
  <si>
    <t>Profit Returns %</t>
  </si>
  <si>
    <t>Total - Investors Profit Share</t>
  </si>
  <si>
    <t>Investment</t>
  </si>
  <si>
    <t>Deficit - Round 2</t>
  </si>
  <si>
    <t>Capital Raised - Round 1</t>
  </si>
  <si>
    <t>Profit Returns % IRR</t>
  </si>
  <si>
    <t>Total Investor %</t>
  </si>
  <si>
    <t>Total Investor IRR %</t>
  </si>
  <si>
    <t>Closing costs + Due Dilligence</t>
  </si>
  <si>
    <t>Think Tank</t>
  </si>
  <si>
    <t>Graph</t>
  </si>
  <si>
    <t>Senior Loan (70% LVR)</t>
  </si>
  <si>
    <t>Round 1 Capital Raising</t>
  </si>
  <si>
    <t>Round 2 Capital Raising</t>
  </si>
  <si>
    <t>Total Capital Stack</t>
  </si>
  <si>
    <t>Amount</t>
  </si>
  <si>
    <t>Stack</t>
  </si>
  <si>
    <t>Property Sale Price</t>
  </si>
  <si>
    <t>Potential Exit Outcome for $200K Contribution in Round 2 Capital Raising</t>
  </si>
  <si>
    <t>Total Project Profit (minus costs)</t>
  </si>
  <si>
    <t>Equity Share for $200K in round 2</t>
  </si>
  <si>
    <t>Return for $200K Contribution for Round 2 Investor</t>
  </si>
  <si>
    <t>Investor Contribution Round 2</t>
  </si>
  <si>
    <t>t</t>
  </si>
  <si>
    <t>c</t>
  </si>
  <si>
    <t>Water Tappings</t>
  </si>
  <si>
    <t>Money Parter (Loan)</t>
  </si>
  <si>
    <t>% Interest in the deal</t>
  </si>
  <si>
    <t>Krishna's Bucket Company</t>
  </si>
  <si>
    <t>Amt Contributed</t>
  </si>
  <si>
    <t>Vish Associates Pty Ltd (ABN 56 647 166 112) ATF Narayan Family Wealth Trust</t>
  </si>
  <si>
    <t>Sharath Reddy Kancharla</t>
  </si>
  <si>
    <t>Pay back Money partners</t>
  </si>
  <si>
    <t>Minus JV contribution</t>
  </si>
  <si>
    <t>Land Sale</t>
  </si>
  <si>
    <t>House Sale</t>
  </si>
  <si>
    <t>Buyers fee</t>
  </si>
  <si>
    <t>Accounting &amp; Legals &amp; Closing</t>
  </si>
  <si>
    <t>Funding cost</t>
  </si>
  <si>
    <t>Build per sqm</t>
  </si>
  <si>
    <t>incd gst</t>
  </si>
  <si>
    <t>per dwelling</t>
  </si>
  <si>
    <t>Construction cost</t>
  </si>
  <si>
    <t>Townplannig</t>
  </si>
  <si>
    <t>Buidling Permit Approvals</t>
  </si>
  <si>
    <t>Misc cost/contingency</t>
  </si>
  <si>
    <t>Debt servicing expense</t>
  </si>
  <si>
    <t>Residual Value after selling 1 lot</t>
  </si>
  <si>
    <t>Senior loan payable</t>
  </si>
  <si>
    <t>Equity in land</t>
  </si>
  <si>
    <t>Equity %</t>
  </si>
  <si>
    <t>80% LVR of land</t>
  </si>
  <si>
    <t>Stamp duty</t>
  </si>
  <si>
    <t>Construction cost with pools</t>
  </si>
  <si>
    <t>Town planning approval</t>
  </si>
  <si>
    <t xml:space="preserve">Loan interest for land until contruction refinance </t>
  </si>
  <si>
    <t>Refinance available 80% Of Net GRV</t>
  </si>
  <si>
    <t>Lending Fees</t>
  </si>
  <si>
    <t>initial Funding cost</t>
  </si>
  <si>
    <t>Total debt financeing cost</t>
  </si>
  <si>
    <t>ARVR Holdings PtyLtd ATF ARVR Family Trust</t>
  </si>
  <si>
    <t>Cash require</t>
  </si>
  <si>
    <t>Equity 30%</t>
  </si>
  <si>
    <t>Investor Payments</t>
  </si>
  <si>
    <t>Date</t>
  </si>
  <si>
    <t>Committed</t>
  </si>
  <si>
    <t>PROJECT PROGRAMME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</si>
  <si>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</si>
  <si>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</si>
  <si>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</si>
  <si>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</si>
  <si>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</si>
  <si>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</si>
  <si>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</si>
  <si>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</si>
  <si>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</si>
  <si>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</si>
  <si>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</si>
  <si>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TOTAL</t>
  </si>
  <si>
    <t>MONTH</t>
  </si>
  <si>
    <t>Opening Balance</t>
  </si>
  <si>
    <t xml:space="preserve">Investment - Vivek </t>
  </si>
  <si>
    <t>Invetsment from Sharath</t>
  </si>
  <si>
    <t>Loan from Ramakanth</t>
  </si>
  <si>
    <t>Bank</t>
  </si>
  <si>
    <t>Deposit Early Release</t>
  </si>
  <si>
    <t>Sale 96</t>
  </si>
  <si>
    <t>Loan repaymnet</t>
  </si>
  <si>
    <t>Purchase cost</t>
  </si>
  <si>
    <t>Funding Cost</t>
  </si>
  <si>
    <t>Audrey</t>
  </si>
  <si>
    <t>Homesly - Reiumbursement</t>
  </si>
  <si>
    <t>Water &amp; Drainage</t>
  </si>
  <si>
    <t>Tree permit</t>
  </si>
  <si>
    <t xml:space="preserve">Gas Abolisgment </t>
  </si>
  <si>
    <t>Electricty Aboloshment</t>
  </si>
  <si>
    <t>Sewer PIC`</t>
  </si>
  <si>
    <t>PIC fire hydrand capping</t>
  </si>
  <si>
    <t>MISC</t>
  </si>
  <si>
    <t>Sales commission</t>
  </si>
  <si>
    <t>ASIC</t>
  </si>
  <si>
    <t>Xero Fee</t>
  </si>
  <si>
    <t>Profit distribution</t>
  </si>
  <si>
    <t>Cash at hand @ EOM</t>
  </si>
  <si>
    <t>Loan Balance</t>
  </si>
  <si>
    <t>Application Fee</t>
  </si>
  <si>
    <t>…000.</t>
  </si>
  <si>
    <t>Private Loan- Vijay</t>
  </si>
  <si>
    <t>Ramakanth (loan)</t>
  </si>
  <si>
    <t>Total paid</t>
  </si>
  <si>
    <t>Still to pay</t>
  </si>
  <si>
    <t>Total expected</t>
  </si>
  <si>
    <t>Outstanding</t>
  </si>
  <si>
    <t>Paid to date</t>
  </si>
  <si>
    <t>Homesly expenses</t>
  </si>
  <si>
    <t>Deficit / Surplus</t>
  </si>
  <si>
    <t>Quotes</t>
  </si>
  <si>
    <t>A1</t>
  </si>
  <si>
    <t>Nu Tec</t>
  </si>
  <si>
    <t>Demo 94-96</t>
  </si>
  <si>
    <t>Demo 92</t>
  </si>
  <si>
    <t>Demo (incl GST)</t>
  </si>
  <si>
    <t>Asbestos Certificate</t>
  </si>
  <si>
    <t>Abolishment of Electricity 94-96</t>
  </si>
  <si>
    <t>Abolishment of Gas</t>
  </si>
  <si>
    <t>Temp Fencing</t>
  </si>
  <si>
    <t>Sewer Caping</t>
  </si>
  <si>
    <t>Stumping</t>
  </si>
  <si>
    <t>Admin Fee</t>
  </si>
  <si>
    <t>Temp Fence Dimension</t>
  </si>
  <si>
    <t>Front</t>
  </si>
  <si>
    <t>Side</t>
  </si>
  <si>
    <t>Asbestos Included</t>
  </si>
  <si>
    <t>Yes</t>
  </si>
  <si>
    <t>AMW</t>
  </si>
  <si>
    <t>No</t>
  </si>
  <si>
    <t>Closing cost conveyencer &amp; adjustment</t>
  </si>
  <si>
    <t>Title Office &amp; PEXA</t>
  </si>
  <si>
    <t>Stamp Duty+adjutsments</t>
  </si>
  <si>
    <t>Loan Interest</t>
  </si>
  <si>
    <t>Budget</t>
  </si>
  <si>
    <t>Actual</t>
  </si>
  <si>
    <t>Arbourist</t>
  </si>
  <si>
    <t>Variance</t>
  </si>
  <si>
    <t>Bank Fees</t>
  </si>
  <si>
    <t>Council</t>
  </si>
  <si>
    <t xml:space="preserve">Interest </t>
  </si>
  <si>
    <t>Profit after funding</t>
  </si>
  <si>
    <t>Feasibility- submited to Vijay</t>
  </si>
  <si>
    <t>Block 1</t>
  </si>
  <si>
    <t>Block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</si>
</sst>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;[Red]\-&quot;$&quot;#,##0"/>
    <numFmt numFmtId="8" formatCode="&quot;$&quot;#,##0.00;[Red]\-&quot;$&quot;#,##0.00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&quot;$&quot;* #,##0_-;\-&quot;$&quot;* #,##0_-;_-&quot;$&quot;* &quot;-&quot;??_-;_-@_-"/>
    <numFmt numFmtId="165" formatCode="_-* #,##0_-;\-* #,##0_-;_-* &quot;-&quot;??_-;_-@_-"/>
    <numFmt numFmtId="166" formatCode="0.0%"/>
    <numFmt numFmtId="167" formatCode="_-* #,##0_-;\-* #,##0_-;_-* &quot;-&quot;?_-;_-@_-"/>
    <numFmt numFmtId="168" formatCode="&quot;$&quot;#,##0"/>
    <numFmt numFmtId="169" formatCode="#,##0_ ;\-#,##0\ "/>
    <numFmt numFmtId="170" formatCode="_-* #,##0.0_-;\-* #,##0.0_-;_-* &quot;-&quot;?_-;_-@_-"/>
    <numFmt numFmtId="171" formatCode="0.0"/>
    <numFmt numFmtId="172" formatCode="_-* #,##0.0000_-;\-* #,##0.0000_-;_-* &quot;-&quot;??_-;_-@_-"/>
    <numFmt numFmtId="173" formatCode="_-* #,##0.000_-;\-* #,##0.000_-;_-* &quot;-&quot;??_-;_-@_-"/>
    <numFmt numFmtId="174" formatCode="0.000%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1"/>
      <color rgb="FF1F3864"/>
      <name val="Arial"/>
      <family val="2"/>
    </font>
    <font>
      <sz val="11"/>
      <color rgb="FF1F3864"/>
      <name val="Arial"/>
      <family val="2"/>
    </font>
    <font>
      <i/>
      <sz val="11"/>
      <color theme="1"/>
      <name val="Aptos Narrow"/>
      <family val="2"/>
      <scheme val="minor"/>
    </font>
    <font>
      <b/>
      <sz val="10"/>
      <color rgb="FF1F3864"/>
      <name val="Arial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rgb="FFFFFFFF"/>
      <name val="Arial"/>
      <family val="2"/>
    </font>
    <font>
      <b/>
      <sz val="9"/>
      <color theme="0"/>
      <name val="Aptos Narrow"/>
      <family val="2"/>
      <scheme val="minor"/>
    </font>
    <font>
      <sz val="8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sz val="9"/>
      <name val="Arial"/>
      <family val="2"/>
    </font>
    <font>
      <sz val="11"/>
      <color rgb="FF9C0006"/>
      <name val="Aptos Narrow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9FC5E8"/>
        <bgColor rgb="FF9FC5E8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3F3F3"/>
        <bgColor rgb="FFF3F3F3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7CE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28" borderId="0" applyNumberFormat="0" applyBorder="0" applyAlignment="0" applyProtection="0"/>
  </cellStyleXfs>
  <cellXfs count="340">
    <xf numFmtId="0" fontId="0" fillId="0" borderId="0" xfId="0"/>
    <xf numFmtId="0" fontId="0" fillId="2" borderId="0" xfId="0" applyFill="1"/>
    <xf numFmtId="164" fontId="0" fillId="0" borderId="1" xfId="1" applyNumberFormat="1" applyFont="1" applyBorder="1"/>
    <xf numFmtId="164" fontId="0" fillId="0" borderId="1" xfId="0" applyNumberFormat="1" applyBorder="1"/>
    <xf numFmtId="164" fontId="0" fillId="0" borderId="0" xfId="0" applyNumberFormat="1"/>
    <xf numFmtId="165" fontId="0" fillId="0" borderId="0" xfId="2" applyNumberFormat="1" applyFont="1"/>
    <xf numFmtId="9" fontId="0" fillId="0" borderId="0" xfId="0" applyNumberFormat="1"/>
    <xf numFmtId="165" fontId="0" fillId="0" borderId="0" xfId="0" applyNumberFormat="1"/>
    <xf numFmtId="0" fontId="0" fillId="0" borderId="1" xfId="0" applyBorder="1"/>
    <xf numFmtId="165" fontId="0" fillId="0" borderId="1" xfId="0" applyNumberFormat="1" applyBorder="1"/>
    <xf numFmtId="165" fontId="0" fillId="0" borderId="1" xfId="2" applyNumberFormat="1" applyFont="1" applyBorder="1"/>
    <xf numFmtId="9" fontId="0" fillId="0" borderId="0" xfId="3" applyFont="1"/>
    <xf numFmtId="9" fontId="0" fillId="0" borderId="1" xfId="3" applyFont="1" applyBorder="1"/>
    <xf numFmtId="9" fontId="0" fillId="0" borderId="1" xfId="0" applyNumberFormat="1" applyBorder="1"/>
    <xf numFmtId="166" fontId="0" fillId="0" borderId="0" xfId="0" applyNumberFormat="1"/>
    <xf numFmtId="166" fontId="0" fillId="0" borderId="1" xfId="0" applyNumberFormat="1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1" xfId="0" applyFill="1" applyBorder="1"/>
    <xf numFmtId="0" fontId="0" fillId="4" borderId="6" xfId="0" applyFill="1" applyBorder="1"/>
    <xf numFmtId="0" fontId="0" fillId="0" borderId="5" xfId="0" applyBorder="1"/>
    <xf numFmtId="9" fontId="0" fillId="0" borderId="6" xfId="0" applyNumberFormat="1" applyBorder="1"/>
    <xf numFmtId="165" fontId="0" fillId="0" borderId="6" xfId="2" applyNumberFormat="1" applyFont="1" applyBorder="1"/>
    <xf numFmtId="0" fontId="0" fillId="0" borderId="6" xfId="0" applyBorder="1"/>
    <xf numFmtId="9" fontId="0" fillId="0" borderId="5" xfId="3" applyFont="1" applyBorder="1"/>
    <xf numFmtId="0" fontId="2" fillId="0" borderId="5" xfId="0" applyFont="1" applyBorder="1"/>
    <xf numFmtId="0" fontId="2" fillId="0" borderId="1" xfId="0" applyFont="1" applyBorder="1"/>
    <xf numFmtId="165" fontId="2" fillId="0" borderId="1" xfId="2" applyNumberFormat="1" applyFont="1" applyBorder="1"/>
    <xf numFmtId="164" fontId="0" fillId="0" borderId="6" xfId="1" applyNumberFormat="1" applyFont="1" applyBorder="1"/>
    <xf numFmtId="0" fontId="0" fillId="3" borderId="7" xfId="0" applyFill="1" applyBorder="1"/>
    <xf numFmtId="0" fontId="0" fillId="3" borderId="8" xfId="0" applyFill="1" applyBorder="1"/>
    <xf numFmtId="164" fontId="0" fillId="3" borderId="8" xfId="1" applyNumberFormat="1" applyFont="1" applyFill="1" applyBorder="1"/>
    <xf numFmtId="164" fontId="0" fillId="3" borderId="9" xfId="1" applyNumberFormat="1" applyFont="1" applyFill="1" applyBorder="1"/>
    <xf numFmtId="0" fontId="0" fillId="0" borderId="10" xfId="0" applyBorder="1"/>
    <xf numFmtId="10" fontId="0" fillId="4" borderId="3" xfId="0" applyNumberFormat="1" applyFill="1" applyBorder="1"/>
    <xf numFmtId="9" fontId="0" fillId="4" borderId="3" xfId="0" applyNumberFormat="1" applyFill="1" applyBorder="1"/>
    <xf numFmtId="9" fontId="0" fillId="4" borderId="4" xfId="0" applyNumberFormat="1" applyFill="1" applyBorder="1"/>
    <xf numFmtId="6" fontId="0" fillId="0" borderId="1" xfId="0" applyNumberFormat="1" applyBorder="1"/>
    <xf numFmtId="8" fontId="0" fillId="0" borderId="1" xfId="0" applyNumberFormat="1" applyBorder="1"/>
    <xf numFmtId="0" fontId="0" fillId="3" borderId="5" xfId="0" applyFill="1" applyBorder="1"/>
    <xf numFmtId="0" fontId="0" fillId="3" borderId="1" xfId="0" applyFill="1" applyBorder="1"/>
    <xf numFmtId="6" fontId="0" fillId="3" borderId="1" xfId="0" applyNumberFormat="1" applyFill="1" applyBorder="1"/>
    <xf numFmtId="1" fontId="0" fillId="0" borderId="1" xfId="0" applyNumberFormat="1" applyBorder="1"/>
    <xf numFmtId="1" fontId="0" fillId="0" borderId="6" xfId="0" applyNumberFormat="1" applyBorder="1"/>
    <xf numFmtId="164" fontId="0" fillId="0" borderId="6" xfId="0" applyNumberFormat="1" applyBorder="1"/>
    <xf numFmtId="1" fontId="0" fillId="3" borderId="1" xfId="0" applyNumberFormat="1" applyFill="1" applyBorder="1"/>
    <xf numFmtId="1" fontId="0" fillId="3" borderId="6" xfId="0" applyNumberFormat="1" applyFill="1" applyBorder="1"/>
    <xf numFmtId="0" fontId="0" fillId="0" borderId="7" xfId="0" applyBorder="1"/>
    <xf numFmtId="0" fontId="0" fillId="0" borderId="8" xfId="0" applyBorder="1"/>
    <xf numFmtId="6" fontId="0" fillId="0" borderId="8" xfId="0" applyNumberFormat="1" applyBorder="1"/>
    <xf numFmtId="6" fontId="0" fillId="0" borderId="9" xfId="0" applyNumberFormat="1" applyBorder="1"/>
    <xf numFmtId="6" fontId="0" fillId="0" borderId="0" xfId="0" applyNumberFormat="1"/>
    <xf numFmtId="17" fontId="0" fillId="0" borderId="0" xfId="0" applyNumberFormat="1"/>
    <xf numFmtId="165" fontId="0" fillId="3" borderId="0" xfId="0" applyNumberFormat="1" applyFill="1"/>
    <xf numFmtId="165" fontId="0" fillId="3" borderId="0" xfId="2" applyNumberFormat="1" applyFont="1" applyFill="1"/>
    <xf numFmtId="165" fontId="0" fillId="3" borderId="1" xfId="2" applyNumberFormat="1" applyFont="1" applyFill="1" applyBorder="1"/>
    <xf numFmtId="165" fontId="0" fillId="3" borderId="1" xfId="0" applyNumberFormat="1" applyFill="1" applyBorder="1"/>
    <xf numFmtId="0" fontId="0" fillId="5" borderId="2" xfId="0" applyFill="1" applyBorder="1"/>
    <xf numFmtId="0" fontId="0" fillId="5" borderId="3" xfId="0" applyFill="1" applyBorder="1"/>
    <xf numFmtId="17" fontId="0" fillId="5" borderId="3" xfId="0" applyNumberFormat="1" applyFill="1" applyBorder="1"/>
    <xf numFmtId="17" fontId="0" fillId="5" borderId="4" xfId="0" applyNumberFormat="1" applyFill="1" applyBorder="1"/>
    <xf numFmtId="165" fontId="0" fillId="3" borderId="8" xfId="2" applyNumberFormat="1" applyFont="1" applyFill="1" applyBorder="1"/>
    <xf numFmtId="165" fontId="0" fillId="3" borderId="8" xfId="0" applyNumberFormat="1" applyFill="1" applyBorder="1"/>
    <xf numFmtId="165" fontId="0" fillId="3" borderId="9" xfId="0" applyNumberFormat="1" applyFill="1" applyBorder="1"/>
    <xf numFmtId="0" fontId="0" fillId="0" borderId="2" xfId="0" applyBorder="1"/>
    <xf numFmtId="165" fontId="0" fillId="3" borderId="3" xfId="2" applyNumberFormat="1" applyFont="1" applyFill="1" applyBorder="1"/>
    <xf numFmtId="165" fontId="0" fillId="0" borderId="3" xfId="2" applyNumberFormat="1" applyFont="1" applyBorder="1"/>
    <xf numFmtId="0" fontId="0" fillId="0" borderId="3" xfId="0" applyBorder="1"/>
    <xf numFmtId="0" fontId="0" fillId="0" borderId="4" xfId="0" applyBorder="1"/>
    <xf numFmtId="165" fontId="0" fillId="0" borderId="8" xfId="2" applyNumberFormat="1" applyFont="1" applyBorder="1"/>
    <xf numFmtId="165" fontId="0" fillId="0" borderId="9" xfId="2" applyNumberFormat="1" applyFont="1" applyBorder="1"/>
    <xf numFmtId="17" fontId="0" fillId="0" borderId="3" xfId="0" applyNumberFormat="1" applyBorder="1"/>
    <xf numFmtId="17" fontId="0" fillId="0" borderId="4" xfId="0" applyNumberFormat="1" applyBorder="1"/>
    <xf numFmtId="165" fontId="0" fillId="3" borderId="6" xfId="0" applyNumberFormat="1" applyFill="1" applyBorder="1"/>
    <xf numFmtId="9" fontId="0" fillId="0" borderId="3" xfId="0" applyNumberFormat="1" applyBorder="1"/>
    <xf numFmtId="9" fontId="2" fillId="0" borderId="3" xfId="0" applyNumberFormat="1" applyFont="1" applyBorder="1"/>
    <xf numFmtId="165" fontId="0" fillId="3" borderId="3" xfId="0" applyNumberFormat="1" applyFill="1" applyBorder="1"/>
    <xf numFmtId="165" fontId="0" fillId="0" borderId="4" xfId="2" applyNumberFormat="1" applyFont="1" applyBorder="1"/>
    <xf numFmtId="0" fontId="0" fillId="4" borderId="7" xfId="0" applyFill="1" applyBorder="1"/>
    <xf numFmtId="165" fontId="0" fillId="4" borderId="9" xfId="2" applyNumberFormat="1" applyFont="1" applyFill="1" applyBorder="1"/>
    <xf numFmtId="0" fontId="0" fillId="4" borderId="0" xfId="0" applyFill="1"/>
    <xf numFmtId="165" fontId="0" fillId="4" borderId="0" xfId="2" applyNumberFormat="1" applyFont="1" applyFill="1"/>
    <xf numFmtId="165" fontId="0" fillId="6" borderId="0" xfId="2" applyNumberFormat="1" applyFont="1" applyFill="1"/>
    <xf numFmtId="0" fontId="0" fillId="2" borderId="11" xfId="0" applyFill="1" applyBorder="1"/>
    <xf numFmtId="165" fontId="0" fillId="2" borderId="12" xfId="2" applyNumberFormat="1" applyFont="1" applyFill="1" applyBorder="1"/>
    <xf numFmtId="165" fontId="0" fillId="2" borderId="13" xfId="2" applyNumberFormat="1" applyFont="1" applyFill="1" applyBorder="1"/>
    <xf numFmtId="166" fontId="0" fillId="0" borderId="0" xfId="3" applyNumberFormat="1" applyFont="1"/>
    <xf numFmtId="167" fontId="0" fillId="0" borderId="0" xfId="0" applyNumberFormat="1"/>
    <xf numFmtId="16" fontId="0" fillId="0" borderId="0" xfId="0" applyNumberFormat="1"/>
    <xf numFmtId="165" fontId="0" fillId="0" borderId="0" xfId="2" applyNumberFormat="1" applyFont="1" applyFill="1" applyBorder="1"/>
    <xf numFmtId="0" fontId="0" fillId="7" borderId="0" xfId="0" applyFill="1" applyAlignment="1">
      <alignment horizontal="right"/>
    </xf>
    <xf numFmtId="0" fontId="0" fillId="7" borderId="0" xfId="0" applyFill="1" applyAlignment="1">
      <alignment horizontal="center"/>
    </xf>
    <xf numFmtId="0" fontId="0" fillId="6" borderId="0" xfId="0" applyFill="1" applyAlignment="1">
      <alignment horizontal="right"/>
    </xf>
    <xf numFmtId="9" fontId="0" fillId="6" borderId="0" xfId="0" applyNumberFormat="1" applyFill="1" applyAlignment="1">
      <alignment horizontal="center"/>
    </xf>
    <xf numFmtId="9" fontId="0" fillId="6" borderId="0" xfId="3" applyFont="1" applyFill="1" applyBorder="1" applyAlignment="1">
      <alignment horizontal="center"/>
    </xf>
    <xf numFmtId="168" fontId="0" fillId="6" borderId="0" xfId="2" applyNumberFormat="1" applyFont="1" applyFill="1" applyBorder="1" applyAlignment="1"/>
    <xf numFmtId="165" fontId="0" fillId="6" borderId="0" xfId="2" applyNumberFormat="1" applyFont="1" applyFill="1" applyBorder="1" applyAlignment="1"/>
    <xf numFmtId="0" fontId="0" fillId="8" borderId="0" xfId="0" applyFill="1" applyAlignment="1">
      <alignment horizontal="right"/>
    </xf>
    <xf numFmtId="0" fontId="0" fillId="8" borderId="0" xfId="0" applyFill="1" applyAlignment="1">
      <alignment horizontal="center"/>
    </xf>
    <xf numFmtId="9" fontId="0" fillId="8" borderId="0" xfId="0" applyNumberFormat="1" applyFill="1" applyAlignment="1">
      <alignment horizontal="center"/>
    </xf>
    <xf numFmtId="1" fontId="0" fillId="8" borderId="0" xfId="2" applyNumberFormat="1" applyFont="1" applyFill="1" applyBorder="1" applyAlignment="1">
      <alignment horizontal="center"/>
    </xf>
    <xf numFmtId="168" fontId="0" fillId="8" borderId="0" xfId="1" applyNumberFormat="1" applyFont="1" applyFill="1" applyBorder="1" applyAlignment="1">
      <alignment horizontal="center"/>
    </xf>
    <xf numFmtId="1" fontId="0" fillId="8" borderId="0" xfId="0" applyNumberFormat="1" applyFill="1" applyAlignment="1">
      <alignment horizontal="center"/>
    </xf>
    <xf numFmtId="0" fontId="0" fillId="7" borderId="0" xfId="0" applyFill="1"/>
    <xf numFmtId="165" fontId="0" fillId="7" borderId="0" xfId="2" applyNumberFormat="1" applyFont="1" applyFill="1" applyBorder="1" applyAlignment="1"/>
    <xf numFmtId="6" fontId="0" fillId="6" borderId="0" xfId="0" applyNumberFormat="1" applyFill="1"/>
    <xf numFmtId="0" fontId="0" fillId="8" borderId="0" xfId="0" applyFill="1"/>
    <xf numFmtId="8" fontId="0" fillId="8" borderId="0" xfId="0" applyNumberFormat="1" applyFill="1"/>
    <xf numFmtId="168" fontId="0" fillId="6" borderId="0" xfId="0" applyNumberFormat="1" applyFill="1"/>
    <xf numFmtId="0" fontId="0" fillId="9" borderId="0" xfId="0" applyFill="1" applyAlignment="1">
      <alignment horizontal="right"/>
    </xf>
    <xf numFmtId="6" fontId="0" fillId="9" borderId="0" xfId="0" applyNumberFormat="1" applyFill="1"/>
    <xf numFmtId="0" fontId="4" fillId="6" borderId="0" xfId="0" applyFont="1" applyFill="1" applyAlignment="1">
      <alignment horizontal="right" wrapText="1"/>
    </xf>
    <xf numFmtId="164" fontId="0" fillId="6" borderId="0" xfId="1" applyNumberFormat="1" applyFont="1" applyFill="1" applyBorder="1" applyAlignment="1"/>
    <xf numFmtId="6" fontId="0" fillId="7" borderId="0" xfId="0" applyNumberFormat="1" applyFill="1"/>
    <xf numFmtId="166" fontId="0" fillId="6" borderId="0" xfId="3" applyNumberFormat="1" applyFont="1" applyFill="1" applyBorder="1" applyAlignment="1"/>
    <xf numFmtId="0" fontId="0" fillId="0" borderId="0" xfId="0" applyAlignment="1">
      <alignment horizontal="right"/>
    </xf>
    <xf numFmtId="0" fontId="0" fillId="6" borderId="5" xfId="0" applyFill="1" applyBorder="1"/>
    <xf numFmtId="0" fontId="0" fillId="6" borderId="1" xfId="0" applyFill="1" applyBorder="1"/>
    <xf numFmtId="169" fontId="0" fillId="11" borderId="6" xfId="0" applyNumberFormat="1" applyFill="1" applyBorder="1"/>
    <xf numFmtId="0" fontId="0" fillId="6" borderId="7" xfId="0" applyFill="1" applyBorder="1"/>
    <xf numFmtId="0" fontId="0" fillId="6" borderId="8" xfId="0" applyFill="1" applyBorder="1"/>
    <xf numFmtId="169" fontId="0" fillId="11" borderId="9" xfId="0" applyNumberFormat="1" applyFill="1" applyBorder="1"/>
    <xf numFmtId="0" fontId="5" fillId="11" borderId="6" xfId="0" applyFont="1" applyFill="1" applyBorder="1"/>
    <xf numFmtId="0" fontId="0" fillId="11" borderId="6" xfId="0" applyFill="1" applyBorder="1"/>
    <xf numFmtId="164" fontId="0" fillId="11" borderId="6" xfId="1" applyNumberFormat="1" applyFont="1" applyFill="1" applyBorder="1"/>
    <xf numFmtId="164" fontId="0" fillId="6" borderId="6" xfId="1" applyNumberFormat="1" applyFont="1" applyFill="1" applyBorder="1"/>
    <xf numFmtId="164" fontId="0" fillId="12" borderId="6" xfId="1" applyNumberFormat="1" applyFont="1" applyFill="1" applyBorder="1"/>
    <xf numFmtId="0" fontId="0" fillId="10" borderId="5" xfId="0" applyFill="1" applyBorder="1"/>
    <xf numFmtId="9" fontId="0" fillId="10" borderId="1" xfId="0" applyNumberFormat="1" applyFill="1" applyBorder="1"/>
    <xf numFmtId="164" fontId="0" fillId="10" borderId="6" xfId="1" applyNumberFormat="1" applyFont="1" applyFill="1" applyBorder="1"/>
    <xf numFmtId="0" fontId="2" fillId="6" borderId="5" xfId="0" applyFont="1" applyFill="1" applyBorder="1"/>
    <xf numFmtId="9" fontId="0" fillId="11" borderId="1" xfId="0" applyNumberFormat="1" applyFill="1" applyBorder="1"/>
    <xf numFmtId="164" fontId="0" fillId="13" borderId="6" xfId="1" applyNumberFormat="1" applyFont="1" applyFill="1" applyBorder="1"/>
    <xf numFmtId="166" fontId="0" fillId="11" borderId="1" xfId="0" applyNumberFormat="1" applyFill="1" applyBorder="1"/>
    <xf numFmtId="166" fontId="0" fillId="6" borderId="1" xfId="0" applyNumberFormat="1" applyFill="1" applyBorder="1"/>
    <xf numFmtId="0" fontId="0" fillId="6" borderId="10" xfId="0" applyFill="1" applyBorder="1"/>
    <xf numFmtId="166" fontId="0" fillId="11" borderId="0" xfId="0" applyNumberFormat="1" applyFill="1"/>
    <xf numFmtId="164" fontId="0" fillId="13" borderId="0" xfId="0" applyNumberFormat="1" applyFill="1"/>
    <xf numFmtId="164" fontId="0" fillId="14" borderId="6" xfId="1" applyNumberFormat="1" applyFont="1" applyFill="1" applyBorder="1"/>
    <xf numFmtId="164" fontId="0" fillId="14" borderId="17" xfId="1" applyNumberFormat="1" applyFont="1" applyFill="1" applyBorder="1"/>
    <xf numFmtId="164" fontId="0" fillId="13" borderId="17" xfId="1" applyNumberFormat="1" applyFont="1" applyFill="1" applyBorder="1"/>
    <xf numFmtId="9" fontId="0" fillId="10" borderId="1" xfId="3" applyFont="1" applyFill="1" applyBorder="1"/>
    <xf numFmtId="0" fontId="0" fillId="10" borderId="1" xfId="0" applyFill="1" applyBorder="1"/>
    <xf numFmtId="164" fontId="0" fillId="10" borderId="18" xfId="1" applyNumberFormat="1" applyFont="1" applyFill="1" applyBorder="1"/>
    <xf numFmtId="0" fontId="3" fillId="15" borderId="19" xfId="0" applyFont="1" applyFill="1" applyBorder="1"/>
    <xf numFmtId="9" fontId="3" fillId="15" borderId="20" xfId="3" applyFont="1" applyFill="1" applyBorder="1"/>
    <xf numFmtId="164" fontId="3" fillId="15" borderId="21" xfId="1" applyNumberFormat="1" applyFont="1" applyFill="1" applyBorder="1"/>
    <xf numFmtId="165" fontId="0" fillId="0" borderId="20" xfId="2" applyNumberFormat="1" applyFont="1" applyBorder="1"/>
    <xf numFmtId="164" fontId="0" fillId="0" borderId="0" xfId="1" applyNumberFormat="1" applyFont="1"/>
    <xf numFmtId="0" fontId="0" fillId="0" borderId="0" xfId="0" applyAlignment="1">
      <alignment wrapText="1"/>
    </xf>
    <xf numFmtId="0" fontId="2" fillId="8" borderId="5" xfId="0" applyFont="1" applyFill="1" applyBorder="1"/>
    <xf numFmtId="165" fontId="2" fillId="8" borderId="1" xfId="2" applyNumberFormat="1" applyFont="1" applyFill="1" applyBorder="1"/>
    <xf numFmtId="1" fontId="0" fillId="0" borderId="0" xfId="0" applyNumberFormat="1"/>
    <xf numFmtId="0" fontId="0" fillId="3" borderId="19" xfId="0" applyFill="1" applyBorder="1"/>
    <xf numFmtId="0" fontId="0" fillId="3" borderId="20" xfId="0" applyFill="1" applyBorder="1"/>
    <xf numFmtId="1" fontId="0" fillId="3" borderId="20" xfId="0" applyNumberFormat="1" applyFill="1" applyBorder="1"/>
    <xf numFmtId="1" fontId="0" fillId="3" borderId="22" xfId="0" applyNumberFormat="1" applyFill="1" applyBorder="1"/>
    <xf numFmtId="0" fontId="0" fillId="4" borderId="23" xfId="0" applyFill="1" applyBorder="1"/>
    <xf numFmtId="0" fontId="0" fillId="4" borderId="24" xfId="0" applyFill="1" applyBorder="1"/>
    <xf numFmtId="10" fontId="0" fillId="4" borderId="24" xfId="0" applyNumberFormat="1" applyFill="1" applyBorder="1"/>
    <xf numFmtId="44" fontId="0" fillId="4" borderId="24" xfId="1" applyFont="1" applyFill="1" applyBorder="1"/>
    <xf numFmtId="43" fontId="0" fillId="0" borderId="0" xfId="0" applyNumberFormat="1"/>
    <xf numFmtId="0" fontId="0" fillId="16" borderId="0" xfId="0" applyFill="1"/>
    <xf numFmtId="10" fontId="0" fillId="16" borderId="0" xfId="0" applyNumberFormat="1" applyFill="1"/>
    <xf numFmtId="9" fontId="0" fillId="16" borderId="0" xfId="0" applyNumberFormat="1" applyFill="1"/>
    <xf numFmtId="43" fontId="0" fillId="16" borderId="0" xfId="2" applyFont="1" applyFill="1"/>
    <xf numFmtId="165" fontId="0" fillId="8" borderId="0" xfId="0" applyNumberForma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6" fontId="2" fillId="0" borderId="0" xfId="0" applyNumberFormat="1" applyFont="1" applyAlignment="1">
      <alignment vertical="center" wrapText="1"/>
    </xf>
    <xf numFmtId="0" fontId="2" fillId="0" borderId="0" xfId="0" applyFont="1"/>
    <xf numFmtId="0" fontId="0" fillId="17" borderId="0" xfId="0" applyFill="1"/>
    <xf numFmtId="0" fontId="0" fillId="6" borderId="0" xfId="0" applyFill="1"/>
    <xf numFmtId="165" fontId="0" fillId="6" borderId="0" xfId="0" applyNumberFormat="1" applyFill="1"/>
    <xf numFmtId="43" fontId="0" fillId="6" borderId="0" xfId="0" applyNumberFormat="1" applyFill="1"/>
    <xf numFmtId="165" fontId="0" fillId="6" borderId="0" xfId="2" applyNumberFormat="1" applyFont="1" applyFill="1" applyBorder="1"/>
    <xf numFmtId="170" fontId="0" fillId="0" borderId="0" xfId="0" applyNumberFormat="1"/>
    <xf numFmtId="166" fontId="0" fillId="0" borderId="1" xfId="3" applyNumberFormat="1" applyFont="1" applyBorder="1"/>
    <xf numFmtId="44" fontId="0" fillId="0" borderId="0" xfId="1" applyFont="1"/>
    <xf numFmtId="0" fontId="0" fillId="0" borderId="0" xfId="0" applyAlignment="1">
      <alignment horizontal="center"/>
    </xf>
    <xf numFmtId="0" fontId="6" fillId="0" borderId="25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6" fontId="7" fillId="0" borderId="25" xfId="0" applyNumberFormat="1" applyFont="1" applyBorder="1" applyAlignment="1">
      <alignment horizontal="center" vertical="center" wrapText="1"/>
    </xf>
    <xf numFmtId="0" fontId="8" fillId="0" borderId="0" xfId="0" applyFont="1"/>
    <xf numFmtId="0" fontId="6" fillId="0" borderId="0" xfId="0" applyFont="1" applyAlignment="1">
      <alignment horizontal="center" vertical="center" wrapText="1"/>
    </xf>
    <xf numFmtId="6" fontId="7" fillId="0" borderId="0" xfId="0" applyNumberFormat="1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6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8" fontId="0" fillId="0" borderId="1" xfId="0" applyNumberFormat="1" applyBorder="1" applyAlignment="1">
      <alignment wrapText="1"/>
    </xf>
    <xf numFmtId="0" fontId="0" fillId="10" borderId="0" xfId="0" applyFill="1" applyAlignment="1">
      <alignment horizontal="center"/>
    </xf>
    <xf numFmtId="169" fontId="0" fillId="11" borderId="0" xfId="0" applyNumberFormat="1" applyFill="1"/>
    <xf numFmtId="0" fontId="10" fillId="0" borderId="0" xfId="0" applyFont="1"/>
    <xf numFmtId="0" fontId="5" fillId="11" borderId="0" xfId="0" applyFont="1" applyFill="1"/>
    <xf numFmtId="44" fontId="0" fillId="0" borderId="0" xfId="0" applyNumberFormat="1"/>
    <xf numFmtId="17" fontId="10" fillId="0" borderId="0" xfId="0" applyNumberFormat="1" applyFont="1"/>
    <xf numFmtId="9" fontId="10" fillId="0" borderId="0" xfId="0" applyNumberFormat="1" applyFont="1"/>
    <xf numFmtId="0" fontId="0" fillId="11" borderId="0" xfId="0" applyFill="1"/>
    <xf numFmtId="164" fontId="0" fillId="11" borderId="0" xfId="1" applyNumberFormat="1" applyFont="1" applyFill="1" applyBorder="1"/>
    <xf numFmtId="164" fontId="10" fillId="0" borderId="0" xfId="0" applyNumberFormat="1" applyFont="1"/>
    <xf numFmtId="164" fontId="0" fillId="6" borderId="0" xfId="1" applyNumberFormat="1" applyFont="1" applyFill="1" applyBorder="1"/>
    <xf numFmtId="164" fontId="0" fillId="12" borderId="0" xfId="1" applyNumberFormat="1" applyFont="1" applyFill="1" applyBorder="1"/>
    <xf numFmtId="164" fontId="0" fillId="10" borderId="0" xfId="1" applyNumberFormat="1" applyFont="1" applyFill="1" applyBorder="1"/>
    <xf numFmtId="165" fontId="10" fillId="0" borderId="0" xfId="2" applyNumberFormat="1" applyFont="1"/>
    <xf numFmtId="164" fontId="0" fillId="13" borderId="0" xfId="1" applyNumberFormat="1" applyFont="1" applyFill="1" applyBorder="1"/>
    <xf numFmtId="165" fontId="10" fillId="0" borderId="0" xfId="0" applyNumberFormat="1" applyFont="1"/>
    <xf numFmtId="0" fontId="4" fillId="0" borderId="0" xfId="0" applyFont="1"/>
    <xf numFmtId="1" fontId="10" fillId="0" borderId="0" xfId="0" applyNumberFormat="1" applyFont="1"/>
    <xf numFmtId="164" fontId="0" fillId="14" borderId="0" xfId="1" applyNumberFormat="1" applyFont="1" applyFill="1" applyBorder="1"/>
    <xf numFmtId="0" fontId="3" fillId="15" borderId="0" xfId="0" applyFont="1" applyFill="1"/>
    <xf numFmtId="0" fontId="0" fillId="6" borderId="19" xfId="0" applyFill="1" applyBorder="1"/>
    <xf numFmtId="9" fontId="0" fillId="11" borderId="20" xfId="3" applyFont="1" applyFill="1" applyBorder="1"/>
    <xf numFmtId="164" fontId="0" fillId="13" borderId="21" xfId="1" applyNumberFormat="1" applyFont="1" applyFill="1" applyBorder="1"/>
    <xf numFmtId="9" fontId="3" fillId="15" borderId="0" xfId="3" applyFont="1" applyFill="1"/>
    <xf numFmtId="164" fontId="3" fillId="15" borderId="0" xfId="0" applyNumberFormat="1" applyFont="1" applyFill="1"/>
    <xf numFmtId="171" fontId="0" fillId="0" borderId="0" xfId="0" applyNumberFormat="1"/>
    <xf numFmtId="0" fontId="0" fillId="18" borderId="0" xfId="0" applyFill="1"/>
    <xf numFmtId="0" fontId="3" fillId="6" borderId="1" xfId="0" applyFont="1" applyFill="1" applyBorder="1"/>
    <xf numFmtId="164" fontId="3" fillId="6" borderId="1" xfId="0" applyNumberFormat="1" applyFont="1" applyFill="1" applyBorder="1"/>
    <xf numFmtId="9" fontId="3" fillId="6" borderId="1" xfId="3" applyFont="1" applyFill="1" applyBorder="1"/>
    <xf numFmtId="0" fontId="10" fillId="19" borderId="0" xfId="0" applyFont="1" applyFill="1"/>
    <xf numFmtId="0" fontId="0" fillId="20" borderId="0" xfId="0" applyFill="1"/>
    <xf numFmtId="172" fontId="0" fillId="0" borderId="1" xfId="2" applyNumberFormat="1" applyFont="1" applyBorder="1"/>
    <xf numFmtId="173" fontId="0" fillId="0" borderId="1" xfId="2" applyNumberFormat="1" applyFont="1" applyBorder="1"/>
    <xf numFmtId="10" fontId="0" fillId="0" borderId="1" xfId="2" applyNumberFormat="1" applyFont="1" applyBorder="1"/>
    <xf numFmtId="43" fontId="0" fillId="0" borderId="1" xfId="2" applyFont="1" applyBorder="1"/>
    <xf numFmtId="10" fontId="0" fillId="0" borderId="1" xfId="3" applyNumberFormat="1" applyFont="1" applyBorder="1"/>
    <xf numFmtId="165" fontId="0" fillId="0" borderId="0" xfId="2" applyNumberFormat="1" applyFont="1" applyBorder="1"/>
    <xf numFmtId="173" fontId="0" fillId="0" borderId="0" xfId="2" applyNumberFormat="1" applyFont="1" applyBorder="1"/>
    <xf numFmtId="43" fontId="0" fillId="0" borderId="0" xfId="2" applyFont="1" applyBorder="1"/>
    <xf numFmtId="10" fontId="0" fillId="0" borderId="0" xfId="3" applyNumberFormat="1" applyFont="1" applyBorder="1"/>
    <xf numFmtId="0" fontId="2" fillId="12" borderId="0" xfId="0" applyFont="1" applyFill="1"/>
    <xf numFmtId="165" fontId="0" fillId="4" borderId="0" xfId="0" applyNumberFormat="1" applyFill="1"/>
    <xf numFmtId="10" fontId="0" fillId="0" borderId="0" xfId="0" applyNumberFormat="1"/>
    <xf numFmtId="165" fontId="0" fillId="0" borderId="0" xfId="3" applyNumberFormat="1" applyFont="1"/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0" fillId="7" borderId="5" xfId="0" applyFill="1" applyBorder="1"/>
    <xf numFmtId="165" fontId="0" fillId="7" borderId="1" xfId="0" applyNumberFormat="1" applyFill="1" applyBorder="1"/>
    <xf numFmtId="165" fontId="0" fillId="0" borderId="1" xfId="2" applyNumberFormat="1" applyFont="1" applyFill="1" applyBorder="1"/>
    <xf numFmtId="0" fontId="0" fillId="3" borderId="27" xfId="0" applyFill="1" applyBorder="1"/>
    <xf numFmtId="0" fontId="0" fillId="3" borderId="28" xfId="0" applyFill="1" applyBorder="1"/>
    <xf numFmtId="164" fontId="0" fillId="3" borderId="28" xfId="1" applyNumberFormat="1" applyFont="1" applyFill="1" applyBorder="1"/>
    <xf numFmtId="0" fontId="0" fillId="7" borderId="4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7" borderId="29" xfId="0" applyFill="1" applyBorder="1" applyAlignment="1">
      <alignment horizontal="right"/>
    </xf>
    <xf numFmtId="0" fontId="0" fillId="7" borderId="6" xfId="0" applyFill="1" applyBorder="1"/>
    <xf numFmtId="165" fontId="0" fillId="0" borderId="6" xfId="2" applyNumberFormat="1" applyFont="1" applyFill="1" applyBorder="1"/>
    <xf numFmtId="165" fontId="0" fillId="7" borderId="6" xfId="0" applyNumberFormat="1" applyFill="1" applyBorder="1"/>
    <xf numFmtId="0" fontId="0" fillId="7" borderId="7" xfId="0" applyFill="1" applyBorder="1"/>
    <xf numFmtId="9" fontId="0" fillId="7" borderId="8" xfId="3" applyFont="1" applyFill="1" applyBorder="1"/>
    <xf numFmtId="9" fontId="0" fillId="7" borderId="9" xfId="3" applyFont="1" applyFill="1" applyBorder="1"/>
    <xf numFmtId="10" fontId="0" fillId="0" borderId="0" xfId="3" applyNumberFormat="1" applyFont="1"/>
    <xf numFmtId="0" fontId="0" fillId="21" borderId="1" xfId="0" applyFill="1" applyBorder="1"/>
    <xf numFmtId="9" fontId="0" fillId="21" borderId="1" xfId="0" applyNumberFormat="1" applyFill="1" applyBorder="1"/>
    <xf numFmtId="165" fontId="0" fillId="21" borderId="1" xfId="0" applyNumberFormat="1" applyFill="1" applyBorder="1"/>
    <xf numFmtId="165" fontId="11" fillId="21" borderId="1" xfId="0" applyNumberFormat="1" applyFont="1" applyFill="1" applyBorder="1"/>
    <xf numFmtId="9" fontId="0" fillId="21" borderId="1" xfId="3" applyFont="1" applyFill="1" applyBorder="1"/>
    <xf numFmtId="0" fontId="0" fillId="20" borderId="1" xfId="0" applyFill="1" applyBorder="1"/>
    <xf numFmtId="9" fontId="0" fillId="20" borderId="1" xfId="0" applyNumberFormat="1" applyFill="1" applyBorder="1"/>
    <xf numFmtId="43" fontId="0" fillId="20" borderId="1" xfId="0" applyNumberFormat="1" applyFill="1" applyBorder="1"/>
    <xf numFmtId="165" fontId="0" fillId="20" borderId="1" xfId="0" applyNumberFormat="1" applyFill="1" applyBorder="1"/>
    <xf numFmtId="165" fontId="11" fillId="0" borderId="1" xfId="0" applyNumberFormat="1" applyFont="1" applyBorder="1"/>
    <xf numFmtId="9" fontId="4" fillId="0" borderId="1" xfId="3" applyFont="1" applyBorder="1"/>
    <xf numFmtId="43" fontId="4" fillId="0" borderId="1" xfId="0" applyNumberFormat="1" applyFont="1" applyBorder="1"/>
    <xf numFmtId="165" fontId="2" fillId="0" borderId="0" xfId="2" applyNumberFormat="1" applyFont="1" applyBorder="1"/>
    <xf numFmtId="0" fontId="0" fillId="12" borderId="0" xfId="0" applyFill="1" applyAlignment="1">
      <alignment horizontal="center"/>
    </xf>
    <xf numFmtId="171" fontId="0" fillId="0" borderId="0" xfId="1" applyNumberFormat="1" applyFont="1" applyAlignment="1">
      <alignment horizontal="center"/>
    </xf>
    <xf numFmtId="2" fontId="0" fillId="0" borderId="0" xfId="1" applyNumberFormat="1" applyFont="1" applyAlignment="1">
      <alignment horizontal="center"/>
    </xf>
    <xf numFmtId="0" fontId="3" fillId="6" borderId="0" xfId="0" applyFont="1" applyFill="1"/>
    <xf numFmtId="164" fontId="0" fillId="13" borderId="18" xfId="1" applyNumberFormat="1" applyFont="1" applyFill="1" applyBorder="1"/>
    <xf numFmtId="9" fontId="0" fillId="11" borderId="20" xfId="0" applyNumberFormat="1" applyFill="1" applyBorder="1"/>
    <xf numFmtId="164" fontId="3" fillId="6" borderId="0" xfId="0" applyNumberFormat="1" applyFont="1" applyFill="1"/>
    <xf numFmtId="9" fontId="3" fillId="6" borderId="0" xfId="3" applyFont="1" applyFill="1" applyBorder="1"/>
    <xf numFmtId="164" fontId="0" fillId="6" borderId="0" xfId="0" applyNumberFormat="1" applyFill="1"/>
    <xf numFmtId="9" fontId="0" fillId="6" borderId="0" xfId="3" applyFont="1" applyFill="1" applyBorder="1"/>
    <xf numFmtId="44" fontId="0" fillId="6" borderId="0" xfId="0" applyNumberFormat="1" applyFill="1"/>
    <xf numFmtId="0" fontId="2" fillId="12" borderId="1" xfId="0" applyFont="1" applyFill="1" applyBorder="1"/>
    <xf numFmtId="0" fontId="0" fillId="12" borderId="1" xfId="0" applyFill="1" applyBorder="1"/>
    <xf numFmtId="0" fontId="0" fillId="12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166" fontId="0" fillId="0" borderId="1" xfId="0" applyNumberFormat="1" applyBorder="1" applyAlignment="1">
      <alignment horizontal="center"/>
    </xf>
    <xf numFmtId="0" fontId="0" fillId="0" borderId="26" xfId="0" applyBorder="1"/>
    <xf numFmtId="0" fontId="3" fillId="22" borderId="0" xfId="0" applyFont="1" applyFill="1"/>
    <xf numFmtId="165" fontId="3" fillId="22" borderId="0" xfId="0" applyNumberFormat="1" applyFont="1" applyFill="1"/>
    <xf numFmtId="174" fontId="0" fillId="0" borderId="0" xfId="0" applyNumberFormat="1" applyAlignment="1">
      <alignment horizontal="center"/>
    </xf>
    <xf numFmtId="14" fontId="0" fillId="0" borderId="1" xfId="0" applyNumberFormat="1" applyBorder="1"/>
    <xf numFmtId="9" fontId="0" fillId="23" borderId="1" xfId="3" applyFont="1" applyFill="1" applyBorder="1" applyAlignment="1">
      <alignment horizontal="center"/>
    </xf>
    <xf numFmtId="0" fontId="0" fillId="23" borderId="1" xfId="0" applyFill="1" applyBorder="1" applyAlignment="1">
      <alignment horizontal="center"/>
    </xf>
    <xf numFmtId="17" fontId="12" fillId="24" borderId="2" xfId="0" applyNumberFormat="1" applyFont="1" applyFill="1" applyBorder="1" applyAlignment="1">
      <alignment horizontal="center"/>
    </xf>
    <xf numFmtId="17" fontId="13" fillId="25" borderId="30" xfId="0" applyNumberFormat="1" applyFont="1" applyFill="1" applyBorder="1" applyAlignment="1">
      <alignment horizontal="center" wrapText="1"/>
    </xf>
    <xf numFmtId="165" fontId="12" fillId="24" borderId="4" xfId="2" applyNumberFormat="1" applyFont="1" applyFill="1" applyBorder="1" applyAlignment="1">
      <alignment horizontal="center"/>
    </xf>
    <xf numFmtId="0" fontId="15" fillId="26" borderId="5" xfId="0" applyFont="1" applyFill="1" applyBorder="1" applyAlignment="1">
      <alignment horizontal="center"/>
    </xf>
    <xf numFmtId="0" fontId="15" fillId="26" borderId="1" xfId="0" applyFont="1" applyFill="1" applyBorder="1" applyAlignment="1">
      <alignment horizontal="center"/>
    </xf>
    <xf numFmtId="165" fontId="15" fillId="26" borderId="6" xfId="2" applyNumberFormat="1" applyFont="1" applyFill="1" applyBorder="1" applyAlignment="1">
      <alignment horizontal="center"/>
    </xf>
    <xf numFmtId="0" fontId="16" fillId="15" borderId="20" xfId="0" applyFont="1" applyFill="1" applyBorder="1" applyAlignment="1">
      <alignment horizontal="center"/>
    </xf>
    <xf numFmtId="3" fontId="16" fillId="15" borderId="20" xfId="0" applyNumberFormat="1" applyFont="1" applyFill="1" applyBorder="1" applyAlignment="1">
      <alignment horizontal="center"/>
    </xf>
    <xf numFmtId="164" fontId="16" fillId="15" borderId="20" xfId="0" applyNumberFormat="1" applyFont="1" applyFill="1" applyBorder="1" applyAlignment="1">
      <alignment horizontal="center"/>
    </xf>
    <xf numFmtId="165" fontId="14" fillId="0" borderId="22" xfId="2" applyNumberFormat="1" applyFont="1" applyBorder="1" applyAlignment="1">
      <alignment horizontal="center"/>
    </xf>
    <xf numFmtId="165" fontId="0" fillId="0" borderId="1" xfId="2" applyNumberFormat="1" applyFont="1" applyBorder="1" applyAlignment="1"/>
    <xf numFmtId="0" fontId="14" fillId="0" borderId="1" xfId="0" applyFont="1" applyBorder="1"/>
    <xf numFmtId="165" fontId="0" fillId="0" borderId="0" xfId="2" applyNumberFormat="1" applyFont="1" applyAlignment="1"/>
    <xf numFmtId="0" fontId="14" fillId="0" borderId="26" xfId="0" applyFont="1" applyBorder="1"/>
    <xf numFmtId="165" fontId="0" fillId="16" borderId="0" xfId="2" applyNumberFormat="1" applyFont="1" applyFill="1" applyAlignment="1"/>
    <xf numFmtId="0" fontId="17" fillId="27" borderId="1" xfId="0" applyFont="1" applyFill="1" applyBorder="1"/>
    <xf numFmtId="165" fontId="17" fillId="27" borderId="1" xfId="2" applyNumberFormat="1" applyFont="1" applyFill="1" applyBorder="1" applyAlignment="1"/>
    <xf numFmtId="165" fontId="10" fillId="0" borderId="1" xfId="2" applyNumberFormat="1" applyFont="1" applyBorder="1"/>
    <xf numFmtId="165" fontId="17" fillId="0" borderId="1" xfId="2" applyNumberFormat="1" applyFont="1" applyBorder="1"/>
    <xf numFmtId="0" fontId="14" fillId="0" borderId="31" xfId="0" applyFont="1" applyBorder="1"/>
    <xf numFmtId="165" fontId="10" fillId="0" borderId="32" xfId="2" applyNumberFormat="1" applyFont="1" applyBorder="1"/>
    <xf numFmtId="0" fontId="14" fillId="0" borderId="33" xfId="0" applyFont="1" applyBorder="1"/>
    <xf numFmtId="165" fontId="17" fillId="0" borderId="1" xfId="2" applyNumberFormat="1" applyFont="1" applyBorder="1" applyAlignment="1"/>
    <xf numFmtId="0" fontId="14" fillId="0" borderId="0" xfId="0" applyFont="1"/>
    <xf numFmtId="164" fontId="0" fillId="0" borderId="1" xfId="1" applyNumberFormat="1" applyFont="1" applyFill="1" applyBorder="1"/>
    <xf numFmtId="14" fontId="0" fillId="0" borderId="0" xfId="0" applyNumberFormat="1"/>
    <xf numFmtId="0" fontId="0" fillId="14" borderId="0" xfId="0" applyFill="1"/>
    <xf numFmtId="164" fontId="0" fillId="14" borderId="0" xfId="0" applyNumberFormat="1" applyFill="1"/>
    <xf numFmtId="166" fontId="0" fillId="11" borderId="18" xfId="0" applyNumberFormat="1" applyFill="1" applyBorder="1"/>
    <xf numFmtId="0" fontId="0" fillId="14" borderId="18" xfId="0" applyFill="1" applyBorder="1"/>
    <xf numFmtId="164" fontId="18" fillId="28" borderId="1" xfId="4" applyNumberFormat="1" applyBorder="1"/>
    <xf numFmtId="165" fontId="0" fillId="14" borderId="18" xfId="2" applyNumberFormat="1" applyFont="1" applyFill="1" applyBorder="1"/>
    <xf numFmtId="169" fontId="0" fillId="17" borderId="6" xfId="0" applyNumberFormat="1" applyFill="1" applyBorder="1"/>
    <xf numFmtId="169" fontId="0" fillId="17" borderId="34" xfId="0" applyNumberFormat="1" applyFill="1" applyBorder="1"/>
    <xf numFmtId="0" fontId="5" fillId="17" borderId="18" xfId="0" applyFont="1" applyFill="1" applyBorder="1"/>
    <xf numFmtId="0" fontId="0" fillId="17" borderId="18" xfId="0" applyFill="1" applyBorder="1"/>
    <xf numFmtId="164" fontId="0" fillId="17" borderId="18" xfId="1" applyNumberFormat="1" applyFont="1" applyFill="1" applyBorder="1"/>
    <xf numFmtId="164" fontId="0" fillId="17" borderId="18" xfId="0" applyNumberFormat="1" applyFill="1" applyBorder="1"/>
    <xf numFmtId="164" fontId="0" fillId="17" borderId="1" xfId="1" applyNumberFormat="1" applyFont="1" applyFill="1" applyBorder="1"/>
    <xf numFmtId="0" fontId="0" fillId="10" borderId="14" xfId="0" applyFill="1" applyBorder="1" applyAlignment="1">
      <alignment horizontal="center"/>
    </xf>
    <xf numFmtId="0" fontId="0" fillId="10" borderId="15" xfId="0" applyFill="1" applyBorder="1" applyAlignment="1">
      <alignment horizontal="center"/>
    </xf>
    <xf numFmtId="0" fontId="0" fillId="10" borderId="16" xfId="0" applyFill="1" applyBorder="1" applyAlignment="1">
      <alignment horizontal="center"/>
    </xf>
  </cellXfs>
  <cellStyles count="5">
    <cellStyle name="Bad" xfId="4" builtinId="27"/>
    <cellStyle name="Comma" xfId="2" builtinId="3"/>
    <cellStyle name="Currency" xfId="1" builtinId="4"/>
    <cellStyle name="Normal" xfId="0" builtinId="0"/>
    <cellStyle name="Percent" xfId="3" builtinId="5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Capital Stack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'Capital Stack'!$H$13</c:f>
              <c:strCache>
                <c:ptCount val="1"/>
                <c:pt idx="0">
                  <c:v>Senior Loan (70% LVR)</c:v>
                </c:pt>
              </c:strCache>
            </c:strRef>
          </c:tx>
          <c:spPr>
            <a:solidFill>
              <a:schemeClr val="accent6">
                <a:tint val="6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954453476501134"/>
                      <c:h val="0.1664585156022163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CB79-47FF-93D9-2000346C4C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'Capital Stack'!$I$12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'Capital Stack'!$I$13</c:f>
              <c:numCache>
                <c:formatCode>_-"$"* #,##0_-;\-"$"* #,##0_-;_-"$"* "-"??_-;_-@_-</c:formatCode>
                <c:ptCount val="1"/>
                <c:pt idx="0">
                  <c:v>1931999.9999999998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79-47FF-93D9-2000346C4C42}"/>
            </c:ext>
          </c:extLst>
        </c:ser>
        <c:ser>
          <c:idx val="1"/>
          <c:order val="1"/>
          <c:tx>
            <c:strRef>
              <c:f>'Capital Stack'!$H$14</c:f>
              <c:strCache>
                <c:ptCount val="1"/>
                <c:pt idx="0">
                  <c:v>Round 1 Capital Raising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'Capital Stack'!$I$12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'Capital Stack'!$I$14</c:f>
              <c:numCache>
                <c:formatCode>_-"$"* #,##0_-;\-"$"* #,##0_-;_-"$"* "-"??_-;_-@_-</c:formatCode>
                <c:ptCount val="1"/>
                <c:pt idx="0">
                  <c:v>800000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79-47FF-93D9-2000346C4C42}"/>
            </c:ext>
          </c:extLst>
        </c:ser>
        <c:ser>
          <c:idx val="2"/>
          <c:order val="2"/>
          <c:tx>
            <c:strRef>
              <c:f>'Capital Stack'!$H$15</c:f>
              <c:strCache>
                <c:ptCount val="1"/>
                <c:pt idx="0">
                  <c:v>Round 2 Capital Raising</c:v>
                </c:pt>
              </c:strCache>
            </c:strRef>
          </c:tx>
          <c:spPr>
            <a:solidFill>
              <a:schemeClr val="accent6">
                <a:shade val="6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'Capital Stack'!$I$12</c:f>
              <c:strCache>
                <c:ptCount val="1"/>
                <c:pt idx="0">
                  <c:v>Amount</c:v>
                </c:pt>
              </c:strCache>
            </c:strRef>
          </c:cat>
          <c:val>
            <c:numRef>
              <c:f>'Capital Stack'!$I$15</c:f>
              <c:numCache>
                <c:formatCode>"$"#,##0_);[Red]\("$"#,##0\)</c:formatCode>
                <c:ptCount val="1"/>
                <c:pt idx="0">
                  <c:v>200000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79-47FF-93D9-2000346C4C4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11225055"/>
        <c:axId val="511227455"/>
      </c:barChart>
      <c:catAx>
        <c:axId val="511225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227455"/>
        <c:crosses val="autoZero"/>
        <c:auto val="1"/>
        <c:lblAlgn val="ctr"/>
        <c:lblOffset val="100"/>
        <c:noMultiLvlLbl val="0"/>
      </c:catAx>
      <c:valAx>
        <c:axId val="511227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* #,##0_-;\-&quot;$&quot;* #,##0_-;_-&quot;$&quot;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225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ptos Narrow" panose="02110004020202020204"/>
              </a:rPr>
              <a:t> Potential Exit Outcome for $200K Contribution in Round 2</a:t>
            </a:r>
          </a:p>
        </c:rich>
      </c:tx>
      <c:layout>
        <c:manualLayout>
          <c:xMode val="edge"/>
          <c:yMode val="edge"/>
          <c:x val="0.19728681633626155"/>
          <c:y val="5.06050692731597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898568713393585"/>
          <c:y val="0.10897089600099809"/>
          <c:w val="0.79524507712398018"/>
          <c:h val="0.7303600092470014"/>
        </c:manualLayout>
      </c:layout>
      <c:bar3DChart>
        <c:barDir val="col"/>
        <c:grouping val="standar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-5.5555596059781321E-3"/>
                  <c:y val="-2.6402644838170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159-4289-B250-1170448117D9}"/>
                </c:ext>
              </c:extLst>
            </c:dLbl>
            <c:dLbl>
              <c:idx val="1"/>
              <c:layout>
                <c:manualLayout>
                  <c:x val="0"/>
                  <c:y val="-6.82068324986066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159-4289-B250-1170448117D9}"/>
                </c:ext>
              </c:extLst>
            </c:dLbl>
            <c:dLbl>
              <c:idx val="2"/>
              <c:layout>
                <c:manualLayout>
                  <c:x val="0"/>
                  <c:y val="-4.6204628466798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159-4289-B250-1170448117D9}"/>
                </c:ext>
              </c:extLst>
            </c:dLbl>
            <c:dLbl>
              <c:idx val="3"/>
              <c:layout>
                <c:manualLayout>
                  <c:x val="-1.8518532019927106E-3"/>
                  <c:y val="-9.46094773367770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159-4289-B250-1170448117D9}"/>
                </c:ext>
              </c:extLst>
            </c:dLbl>
            <c:dLbl>
              <c:idx val="4"/>
              <c:layout>
                <c:manualLayout>
                  <c:x val="-5.5555596059782683E-3"/>
                  <c:y val="-0.1254125629813091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D52-47B8-A0C3-4D3D64920D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'7 Yr Valuation &amp; Cashflow'!$A$99:$A$103</c:f>
              <c:strCache>
                <c:ptCount val="5"/>
                <c:pt idx="0">
                  <c:v>Property Sale Price</c:v>
                </c:pt>
                <c:pt idx="1">
                  <c:v>Total Project Profit (minus costs)</c:v>
                </c:pt>
                <c:pt idx="2">
                  <c:v>Investor Contribution Round 2</c:v>
                </c:pt>
                <c:pt idx="3">
                  <c:v>Equity Share for $200K in round 2</c:v>
                </c:pt>
                <c:pt idx="4">
                  <c:v>Return for $200K Contribution for Round 2 Investor</c:v>
                </c:pt>
              </c:strCache>
            </c:strRef>
          </c:cat>
          <c:val>
            <c:numRef>
              <c:f>'7 Yr Valuation &amp; Cashflow'!$B$99:$B$103</c:f>
              <c:numCache>
                <c:formatCode>_-* #,##0_-;\-* #,##0_-;_-* "-"??_-;_-@_-</c:formatCode>
                <c:ptCount val="5"/>
                <c:pt idx="0">
                  <c:v>4398975</c:v>
                </c:pt>
                <c:pt idx="1">
                  <c:v>1197148.4999999998</c:v>
                </c:pt>
                <c:pt idx="2">
                  <c:v>200000</c:v>
                </c:pt>
                <c:pt idx="3" formatCode="0%">
                  <c:v>7.9999999999999988E-2</c:v>
                </c:pt>
                <c:pt idx="4" formatCode="_(* #,##0.00_);_(* \(#,##0.00\);_(* &quot;-&quot;??_);_(@_)">
                  <c:v>95771.879999999961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59-4289-B250-1170448117D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shape val="box"/>
        <c:axId val="508282991"/>
        <c:axId val="508285391"/>
        <c:axId val="507458223"/>
      </c:bar3DChart>
      <c:catAx>
        <c:axId val="50828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85391"/>
        <c:crosses val="autoZero"/>
        <c:auto val="1"/>
        <c:lblAlgn val="ctr"/>
        <c:lblOffset val="100"/>
        <c:noMultiLvlLbl val="0"/>
      </c:catAx>
      <c:valAx>
        <c:axId val="508285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82991"/>
        <c:crosses val="autoZero"/>
        <c:crossBetween val="between"/>
      </c:valAx>
      <c:serAx>
        <c:axId val="50745822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285391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ustomXml" Target="../ink/ink2.xml"/><Relationship Id="rId12" Type="http://schemas.openxmlformats.org/officeDocument/2006/relationships/image" Target="../media/image61.png"/><Relationship Id="rId38" Type="http://schemas.openxmlformats.org/officeDocument/2006/relationships/image" Target="../media/image191.png"/><Relationship Id="rId1" Type="http://schemas.openxmlformats.org/officeDocument/2006/relationships/customXml" Target="../ink/ink1.xml"/><Relationship Id="rId23" Type="http://schemas.openxmlformats.org/officeDocument/2006/relationships/customXml" Target="../ink/ink3.xml"/><Relationship Id="rId22" Type="http://schemas.openxmlformats.org/officeDocument/2006/relationships/image" Target="../media/image111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customXml" Target="../ink/ink5.xml"/><Relationship Id="rId12" Type="http://schemas.openxmlformats.org/officeDocument/2006/relationships/image" Target="../media/image6.png"/><Relationship Id="rId38" Type="http://schemas.openxmlformats.org/officeDocument/2006/relationships/image" Target="../media/image19.png"/><Relationship Id="rId1" Type="http://schemas.openxmlformats.org/officeDocument/2006/relationships/customXml" Target="../ink/ink4.xml"/><Relationship Id="rId23" Type="http://schemas.openxmlformats.org/officeDocument/2006/relationships/customXml" Target="../ink/ink6.xml"/><Relationship Id="rId22" Type="http://schemas.openxmlformats.org/officeDocument/2006/relationships/image" Target="../media/image11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ustomXml" Target="../ink/ink8.xml"/><Relationship Id="rId12" Type="http://schemas.openxmlformats.org/officeDocument/2006/relationships/image" Target="../media/image6.png"/><Relationship Id="rId38" Type="http://schemas.openxmlformats.org/officeDocument/2006/relationships/image" Target="../media/image19.png"/><Relationship Id="rId1" Type="http://schemas.openxmlformats.org/officeDocument/2006/relationships/customXml" Target="../ink/ink7.xml"/><Relationship Id="rId23" Type="http://schemas.openxmlformats.org/officeDocument/2006/relationships/customXml" Target="../ink/ink9.xml"/><Relationship Id="rId22" Type="http://schemas.openxmlformats.org/officeDocument/2006/relationships/image" Target="../media/image11.png"/></Relationships>
</file>

<file path=xl/drawings/_rels/drawing5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1.xml"/><Relationship Id="rId12" Type="http://schemas.openxmlformats.org/officeDocument/2006/relationships/image" Target="../media/image61.png"/><Relationship Id="rId38" Type="http://schemas.openxmlformats.org/officeDocument/2006/relationships/image" Target="../media/image191.png"/><Relationship Id="rId1" Type="http://schemas.openxmlformats.org/officeDocument/2006/relationships/customXml" Target="../ink/ink10.xml"/><Relationship Id="rId23" Type="http://schemas.openxmlformats.org/officeDocument/2006/relationships/customXml" Target="../ink/ink12.xml"/><Relationship Id="rId22" Type="http://schemas.openxmlformats.org/officeDocument/2006/relationships/image" Target="../media/image111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4.xml"/><Relationship Id="rId39" Type="http://schemas.openxmlformats.org/officeDocument/2006/relationships/customXml" Target="../ink/ink16.xml"/><Relationship Id="rId51" Type="http://schemas.openxmlformats.org/officeDocument/2006/relationships/customXml" Target="../ink/ink28.xml"/><Relationship Id="rId42" Type="http://schemas.openxmlformats.org/officeDocument/2006/relationships/customXml" Target="../ink/ink19.xml"/><Relationship Id="rId47" Type="http://schemas.openxmlformats.org/officeDocument/2006/relationships/customXml" Target="../ink/ink24.xml"/><Relationship Id="rId50" Type="http://schemas.openxmlformats.org/officeDocument/2006/relationships/customXml" Target="../ink/ink27.xml"/><Relationship Id="rId55" Type="http://schemas.openxmlformats.org/officeDocument/2006/relationships/customXml" Target="../ink/ink32.xml"/><Relationship Id="rId12" Type="http://schemas.openxmlformats.org/officeDocument/2006/relationships/image" Target="../media/image60.png"/><Relationship Id="rId38" Type="http://schemas.openxmlformats.org/officeDocument/2006/relationships/image" Target="../media/image190.png"/><Relationship Id="rId46" Type="http://schemas.openxmlformats.org/officeDocument/2006/relationships/customXml" Target="../ink/ink23.xml"/><Relationship Id="rId41" Type="http://schemas.openxmlformats.org/officeDocument/2006/relationships/customXml" Target="../ink/ink18.xml"/><Relationship Id="rId54" Type="http://schemas.openxmlformats.org/officeDocument/2006/relationships/customXml" Target="../ink/ink31.xml"/><Relationship Id="rId1" Type="http://schemas.openxmlformats.org/officeDocument/2006/relationships/customXml" Target="../ink/ink13.xml"/><Relationship Id="rId40" Type="http://schemas.openxmlformats.org/officeDocument/2006/relationships/customXml" Target="../ink/ink17.xml"/><Relationship Id="rId45" Type="http://schemas.openxmlformats.org/officeDocument/2006/relationships/customXml" Target="../ink/ink22.xml"/><Relationship Id="rId53" Type="http://schemas.openxmlformats.org/officeDocument/2006/relationships/customXml" Target="../ink/ink30.xml"/><Relationship Id="rId23" Type="http://schemas.openxmlformats.org/officeDocument/2006/relationships/customXml" Target="../ink/ink15.xml"/><Relationship Id="rId49" Type="http://schemas.openxmlformats.org/officeDocument/2006/relationships/customXml" Target="../ink/ink26.xml"/><Relationship Id="rId44" Type="http://schemas.openxmlformats.org/officeDocument/2006/relationships/customXml" Target="../ink/ink21.xml"/><Relationship Id="rId52" Type="http://schemas.openxmlformats.org/officeDocument/2006/relationships/customXml" Target="../ink/ink29.xml"/><Relationship Id="rId22" Type="http://schemas.openxmlformats.org/officeDocument/2006/relationships/image" Target="../media/image110.png"/><Relationship Id="rId43" Type="http://schemas.openxmlformats.org/officeDocument/2006/relationships/customXml" Target="../ink/ink20.xml"/><Relationship Id="rId48" Type="http://schemas.openxmlformats.org/officeDocument/2006/relationships/customXml" Target="../ink/ink25.xml"/></Relationships>
</file>

<file path=xl/drawings/_rels/drawing7.xml.rels><?xml version="1.0" encoding="UTF-8" standalone="yes"?>
<Relationships xmlns="http://schemas.openxmlformats.org/package/2006/relationships"><Relationship Id="rId13" Type="http://schemas.openxmlformats.org/officeDocument/2006/relationships/customXml" Target="../ink/ink34.xml"/><Relationship Id="rId39" Type="http://schemas.openxmlformats.org/officeDocument/2006/relationships/customXml" Target="../ink/ink36.xml"/><Relationship Id="rId51" Type="http://schemas.openxmlformats.org/officeDocument/2006/relationships/customXml" Target="../ink/ink48.xml"/><Relationship Id="rId42" Type="http://schemas.openxmlformats.org/officeDocument/2006/relationships/customXml" Target="../ink/ink39.xml"/><Relationship Id="rId47" Type="http://schemas.openxmlformats.org/officeDocument/2006/relationships/customXml" Target="../ink/ink44.xml"/><Relationship Id="rId50" Type="http://schemas.openxmlformats.org/officeDocument/2006/relationships/customXml" Target="../ink/ink47.xml"/><Relationship Id="rId55" Type="http://schemas.openxmlformats.org/officeDocument/2006/relationships/customXml" Target="../ink/ink52.xml"/><Relationship Id="rId12" Type="http://schemas.openxmlformats.org/officeDocument/2006/relationships/image" Target="../media/image60.png"/><Relationship Id="rId38" Type="http://schemas.openxmlformats.org/officeDocument/2006/relationships/image" Target="../media/image190.png"/><Relationship Id="rId46" Type="http://schemas.openxmlformats.org/officeDocument/2006/relationships/customXml" Target="../ink/ink43.xml"/><Relationship Id="rId59" Type="http://schemas.openxmlformats.org/officeDocument/2006/relationships/customXml" Target="../ink/ink56.xml"/><Relationship Id="rId41" Type="http://schemas.openxmlformats.org/officeDocument/2006/relationships/customXml" Target="../ink/ink38.xml"/><Relationship Id="rId54" Type="http://schemas.openxmlformats.org/officeDocument/2006/relationships/customXml" Target="../ink/ink51.xml"/><Relationship Id="rId62" Type="http://schemas.openxmlformats.org/officeDocument/2006/relationships/chart" Target="../charts/chart2.xml"/><Relationship Id="rId1" Type="http://schemas.openxmlformats.org/officeDocument/2006/relationships/customXml" Target="../ink/ink33.xml"/><Relationship Id="rId40" Type="http://schemas.openxmlformats.org/officeDocument/2006/relationships/customXml" Target="../ink/ink37.xml"/><Relationship Id="rId45" Type="http://schemas.openxmlformats.org/officeDocument/2006/relationships/customXml" Target="../ink/ink42.xml"/><Relationship Id="rId53" Type="http://schemas.openxmlformats.org/officeDocument/2006/relationships/customXml" Target="../ink/ink50.xml"/><Relationship Id="rId58" Type="http://schemas.openxmlformats.org/officeDocument/2006/relationships/customXml" Target="../ink/ink55.xml"/><Relationship Id="rId23" Type="http://schemas.openxmlformats.org/officeDocument/2006/relationships/customXml" Target="../ink/ink35.xml"/><Relationship Id="rId49" Type="http://schemas.openxmlformats.org/officeDocument/2006/relationships/customXml" Target="../ink/ink46.xml"/><Relationship Id="rId57" Type="http://schemas.openxmlformats.org/officeDocument/2006/relationships/customXml" Target="../ink/ink54.xml"/><Relationship Id="rId61" Type="http://schemas.openxmlformats.org/officeDocument/2006/relationships/customXml" Target="../ink/ink58.xml"/><Relationship Id="rId44" Type="http://schemas.openxmlformats.org/officeDocument/2006/relationships/customXml" Target="../ink/ink41.xml"/><Relationship Id="rId52" Type="http://schemas.openxmlformats.org/officeDocument/2006/relationships/customXml" Target="../ink/ink49.xml"/><Relationship Id="rId60" Type="http://schemas.openxmlformats.org/officeDocument/2006/relationships/customXml" Target="../ink/ink57.xml"/><Relationship Id="rId22" Type="http://schemas.openxmlformats.org/officeDocument/2006/relationships/image" Target="../media/image110.png"/><Relationship Id="rId43" Type="http://schemas.openxmlformats.org/officeDocument/2006/relationships/customXml" Target="../ink/ink40.xml"/><Relationship Id="rId48" Type="http://schemas.openxmlformats.org/officeDocument/2006/relationships/customXml" Target="../ink/ink45.xml"/><Relationship Id="rId56" Type="http://schemas.openxmlformats.org/officeDocument/2006/relationships/customXml" Target="../ink/ink53.xml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customXml" Target="../ink/ink60.xml"/><Relationship Id="rId12" Type="http://schemas.openxmlformats.org/officeDocument/2006/relationships/image" Target="../media/image61.png"/><Relationship Id="rId38" Type="http://schemas.openxmlformats.org/officeDocument/2006/relationships/image" Target="../media/image191.png"/><Relationship Id="rId1" Type="http://schemas.openxmlformats.org/officeDocument/2006/relationships/customXml" Target="../ink/ink59.xml"/><Relationship Id="rId23" Type="http://schemas.openxmlformats.org/officeDocument/2006/relationships/customXml" Target="../ink/ink61.xml"/><Relationship Id="rId22" Type="http://schemas.openxmlformats.org/officeDocument/2006/relationships/image" Target="../media/image111.png"/></Relationships>
</file>

<file path=xl/drawings/_rels/drawing9.xml.rels><?xml version="1.0" encoding="UTF-8" standalone="yes"?>
<Relationships xmlns="http://schemas.openxmlformats.org/package/2006/relationships"><Relationship Id="rId13" Type="http://schemas.openxmlformats.org/officeDocument/2006/relationships/customXml" Target="../ink/ink63.xml"/><Relationship Id="rId39" Type="http://schemas.openxmlformats.org/officeDocument/2006/relationships/customXml" Target="../ink/ink65.xml"/><Relationship Id="rId51" Type="http://schemas.openxmlformats.org/officeDocument/2006/relationships/customXml" Target="../ink/ink77.xml"/><Relationship Id="rId42" Type="http://schemas.openxmlformats.org/officeDocument/2006/relationships/customXml" Target="../ink/ink68.xml"/><Relationship Id="rId47" Type="http://schemas.openxmlformats.org/officeDocument/2006/relationships/customXml" Target="../ink/ink73.xml"/><Relationship Id="rId50" Type="http://schemas.openxmlformats.org/officeDocument/2006/relationships/customXml" Target="../ink/ink76.xml"/><Relationship Id="rId55" Type="http://schemas.openxmlformats.org/officeDocument/2006/relationships/customXml" Target="../ink/ink81.xml"/><Relationship Id="rId12" Type="http://schemas.openxmlformats.org/officeDocument/2006/relationships/image" Target="../media/image62.png"/><Relationship Id="rId38" Type="http://schemas.openxmlformats.org/officeDocument/2006/relationships/image" Target="../media/image192.png"/><Relationship Id="rId46" Type="http://schemas.openxmlformats.org/officeDocument/2006/relationships/customXml" Target="../ink/ink72.xml"/><Relationship Id="rId41" Type="http://schemas.openxmlformats.org/officeDocument/2006/relationships/customXml" Target="../ink/ink67.xml"/><Relationship Id="rId54" Type="http://schemas.openxmlformats.org/officeDocument/2006/relationships/customXml" Target="../ink/ink80.xml"/><Relationship Id="rId1" Type="http://schemas.openxmlformats.org/officeDocument/2006/relationships/customXml" Target="../ink/ink62.xml"/><Relationship Id="rId40" Type="http://schemas.openxmlformats.org/officeDocument/2006/relationships/customXml" Target="../ink/ink66.xml"/><Relationship Id="rId45" Type="http://schemas.openxmlformats.org/officeDocument/2006/relationships/customXml" Target="../ink/ink71.xml"/><Relationship Id="rId53" Type="http://schemas.openxmlformats.org/officeDocument/2006/relationships/customXml" Target="../ink/ink79.xml"/><Relationship Id="rId23" Type="http://schemas.openxmlformats.org/officeDocument/2006/relationships/customXml" Target="../ink/ink64.xml"/><Relationship Id="rId49" Type="http://schemas.openxmlformats.org/officeDocument/2006/relationships/customXml" Target="../ink/ink75.xml"/><Relationship Id="rId57" Type="http://schemas.openxmlformats.org/officeDocument/2006/relationships/customXml" Target="../ink/ink83.xml"/><Relationship Id="rId44" Type="http://schemas.openxmlformats.org/officeDocument/2006/relationships/customXml" Target="../ink/ink70.xml"/><Relationship Id="rId52" Type="http://schemas.openxmlformats.org/officeDocument/2006/relationships/customXml" Target="../ink/ink78.xml"/><Relationship Id="rId22" Type="http://schemas.openxmlformats.org/officeDocument/2006/relationships/image" Target="../media/image112.png"/><Relationship Id="rId43" Type="http://schemas.openxmlformats.org/officeDocument/2006/relationships/customXml" Target="../ink/ink69.xml"/><Relationship Id="rId48" Type="http://schemas.openxmlformats.org/officeDocument/2006/relationships/customXml" Target="../ink/ink74.xml"/><Relationship Id="rId56" Type="http://schemas.openxmlformats.org/officeDocument/2006/relationships/customXml" Target="../ink/ink82.xml"/></Relationships>
</file>

<file path=xl/drawings/_rels/drawing10.xml.rels><?xml version="1.0" encoding="UTF-8" standalone="yes"?>
<Relationships xmlns="http://schemas.openxmlformats.org/package/2006/relationships"><Relationship Id="rId13" Type="http://schemas.openxmlformats.org/officeDocument/2006/relationships/customXml" Target="../ink/ink85.xml"/><Relationship Id="rId39" Type="http://schemas.openxmlformats.org/officeDocument/2006/relationships/customXml" Target="../ink/ink87.xml"/><Relationship Id="rId51" Type="http://schemas.openxmlformats.org/officeDocument/2006/relationships/customXml" Target="../ink/ink99.xml"/><Relationship Id="rId42" Type="http://schemas.openxmlformats.org/officeDocument/2006/relationships/customXml" Target="../ink/ink90.xml"/><Relationship Id="rId47" Type="http://schemas.openxmlformats.org/officeDocument/2006/relationships/customXml" Target="../ink/ink95.xml"/><Relationship Id="rId50" Type="http://schemas.openxmlformats.org/officeDocument/2006/relationships/customXml" Target="../ink/ink98.xml"/><Relationship Id="rId55" Type="http://schemas.openxmlformats.org/officeDocument/2006/relationships/customXml" Target="../ink/ink103.xml"/><Relationship Id="rId12" Type="http://schemas.openxmlformats.org/officeDocument/2006/relationships/image" Target="../media/image60.png"/><Relationship Id="rId38" Type="http://schemas.openxmlformats.org/officeDocument/2006/relationships/image" Target="../media/image190.png"/><Relationship Id="rId46" Type="http://schemas.openxmlformats.org/officeDocument/2006/relationships/customXml" Target="../ink/ink94.xml"/><Relationship Id="rId59" Type="http://schemas.openxmlformats.org/officeDocument/2006/relationships/customXml" Target="../ink/ink107.xml"/><Relationship Id="rId41" Type="http://schemas.openxmlformats.org/officeDocument/2006/relationships/customXml" Target="../ink/ink89.xml"/><Relationship Id="rId54" Type="http://schemas.openxmlformats.org/officeDocument/2006/relationships/customXml" Target="../ink/ink102.xml"/><Relationship Id="rId62" Type="http://schemas.openxmlformats.org/officeDocument/2006/relationships/customXml" Target="../ink/ink110.xml"/><Relationship Id="rId1" Type="http://schemas.openxmlformats.org/officeDocument/2006/relationships/customXml" Target="../ink/ink84.xml"/><Relationship Id="rId40" Type="http://schemas.openxmlformats.org/officeDocument/2006/relationships/customXml" Target="../ink/ink88.xml"/><Relationship Id="rId45" Type="http://schemas.openxmlformats.org/officeDocument/2006/relationships/customXml" Target="../ink/ink93.xml"/><Relationship Id="rId53" Type="http://schemas.openxmlformats.org/officeDocument/2006/relationships/customXml" Target="../ink/ink101.xml"/><Relationship Id="rId58" Type="http://schemas.openxmlformats.org/officeDocument/2006/relationships/customXml" Target="../ink/ink106.xml"/><Relationship Id="rId23" Type="http://schemas.openxmlformats.org/officeDocument/2006/relationships/customXml" Target="../ink/ink86.xml"/><Relationship Id="rId49" Type="http://schemas.openxmlformats.org/officeDocument/2006/relationships/customXml" Target="../ink/ink97.xml"/><Relationship Id="rId57" Type="http://schemas.openxmlformats.org/officeDocument/2006/relationships/customXml" Target="../ink/ink105.xml"/><Relationship Id="rId61" Type="http://schemas.openxmlformats.org/officeDocument/2006/relationships/customXml" Target="../ink/ink109.xml"/><Relationship Id="rId44" Type="http://schemas.openxmlformats.org/officeDocument/2006/relationships/customXml" Target="../ink/ink92.xml"/><Relationship Id="rId52" Type="http://schemas.openxmlformats.org/officeDocument/2006/relationships/customXml" Target="../ink/ink100.xml"/><Relationship Id="rId60" Type="http://schemas.openxmlformats.org/officeDocument/2006/relationships/customXml" Target="../ink/ink108.xml"/><Relationship Id="rId22" Type="http://schemas.openxmlformats.org/officeDocument/2006/relationships/image" Target="../media/image110.png"/><Relationship Id="rId43" Type="http://schemas.openxmlformats.org/officeDocument/2006/relationships/customXml" Target="../ink/ink91.xml"/><Relationship Id="rId48" Type="http://schemas.openxmlformats.org/officeDocument/2006/relationships/customXml" Target="../ink/ink96.xml"/><Relationship Id="rId56" Type="http://schemas.openxmlformats.org/officeDocument/2006/relationships/customXml" Target="../ink/ink10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267688</xdr:colOff>
      <xdr:row>19</xdr:row>
      <xdr:rowOff>173995</xdr:rowOff>
    </xdr:from>
    <xdr:to>
      <xdr:col>13</xdr:col>
      <xdr:colOff>628383</xdr:colOff>
      <xdr:row>34</xdr:row>
      <xdr:rowOff>193822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9B621C2-87AE-B904-316A-34C5A7B18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25</xdr:row>
      <xdr:rowOff>4507</xdr:rowOff>
    </xdr:from>
    <xdr:to>
      <xdr:col>8</xdr:col>
      <xdr:colOff>8046</xdr:colOff>
      <xdr:row>25</xdr:row>
      <xdr:rowOff>18907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2C3E901-F0AC-4557-9D41-4AD46007BF1A}"/>
                </a:ext>
              </a:extLst>
            </xdr14:cNvPr>
            <xdr14:cNvContentPartPr/>
          </xdr14:nvContentPartPr>
          <xdr14:nvPr macro=""/>
          <xdr14:xfrm>
            <a:off x="9956880" y="4295520"/>
            <a:ext cx="5400" cy="144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7F167909-E13E-FEA2-FB9C-3952AD6BE26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948240" y="4286880"/>
              <a:ext cx="2304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302257</xdr:colOff>
      <xdr:row>13</xdr:row>
      <xdr:rowOff>178905</xdr:rowOff>
    </xdr:from>
    <xdr:to>
      <xdr:col>6</xdr:col>
      <xdr:colOff>322071</xdr:colOff>
      <xdr:row>14</xdr:row>
      <xdr:rowOff>2233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DD26F9E-7110-44C6-99E1-1BF00701DB2D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975178</xdr:colOff>
      <xdr:row>13</xdr:row>
      <xdr:rowOff>30922</xdr:rowOff>
    </xdr:from>
    <xdr:to>
      <xdr:col>3</xdr:col>
      <xdr:colOff>19304</xdr:colOff>
      <xdr:row>13</xdr:row>
      <xdr:rowOff>39792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484BB9D3-211E-4D98-8F2E-E8F3BE755944}"/>
                </a:ext>
              </a:extLst>
            </xdr14:cNvPr>
            <xdr14:cNvContentPartPr/>
          </xdr14:nvContentPartPr>
          <xdr14:nvPr macro=""/>
          <xdr14:xfrm>
            <a:off x="10501920" y="2464560"/>
            <a:ext cx="3240" cy="25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98785D84-CF1D-B641-95BF-C775F71FD83D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0492920" y="2455920"/>
              <a:ext cx="20880" cy="20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24</xdr:row>
      <xdr:rowOff>4507</xdr:rowOff>
    </xdr:from>
    <xdr:to>
      <xdr:col>8</xdr:col>
      <xdr:colOff>18100</xdr:colOff>
      <xdr:row>24</xdr:row>
      <xdr:rowOff>18907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3DD5B0B1-4847-4AAD-B723-02BD45FB5439}"/>
                </a:ext>
              </a:extLst>
            </xdr14:cNvPr>
            <xdr14:cNvContentPartPr/>
          </xdr14:nvContentPartPr>
          <xdr14:nvPr macro=""/>
          <xdr14:xfrm>
            <a:off x="9956880" y="4295520"/>
            <a:ext cx="5400" cy="144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7F167909-E13E-FEA2-FB9C-3952AD6BE26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948240" y="4286880"/>
              <a:ext cx="2304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0</xdr:colOff>
      <xdr:row>14</xdr:row>
      <xdr:rowOff>178905</xdr:rowOff>
    </xdr:from>
    <xdr:to>
      <xdr:col>8</xdr:col>
      <xdr:colOff>18231</xdr:colOff>
      <xdr:row>15</xdr:row>
      <xdr:rowOff>2233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3B63526-7686-44A9-833A-EDB1E8CCAC37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0</xdr:colOff>
      <xdr:row>13</xdr:row>
      <xdr:rowOff>30922</xdr:rowOff>
    </xdr:from>
    <xdr:to>
      <xdr:col>8</xdr:col>
      <xdr:colOff>1653</xdr:colOff>
      <xdr:row>13</xdr:row>
      <xdr:rowOff>39792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8FBDE302-C2E5-4395-90C2-DF6C0B1631C9}"/>
                </a:ext>
              </a:extLst>
            </xdr14:cNvPr>
            <xdr14:cNvContentPartPr/>
          </xdr14:nvContentPartPr>
          <xdr14:nvPr macro=""/>
          <xdr14:xfrm>
            <a:off x="10501920" y="2464560"/>
            <a:ext cx="3240" cy="25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98785D84-CF1D-B641-95BF-C775F71FD83D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0492920" y="2455920"/>
              <a:ext cx="20880" cy="20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84217</xdr:colOff>
      <xdr:row>24</xdr:row>
      <xdr:rowOff>4507</xdr:rowOff>
    </xdr:from>
    <xdr:to>
      <xdr:col>10</xdr:col>
      <xdr:colOff>97555</xdr:colOff>
      <xdr:row>24</xdr:row>
      <xdr:rowOff>18907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0E2955E-611E-455E-856E-79D49EBCCF43}"/>
                </a:ext>
              </a:extLst>
            </xdr14:cNvPr>
            <xdr14:cNvContentPartPr/>
          </xdr14:nvContentPartPr>
          <xdr14:nvPr macro=""/>
          <xdr14:xfrm>
            <a:off x="9956880" y="4295520"/>
            <a:ext cx="5400" cy="144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7F167909-E13E-FEA2-FB9C-3952AD6BE26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948240" y="4286880"/>
              <a:ext cx="2304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302257</xdr:colOff>
      <xdr:row>15</xdr:row>
      <xdr:rowOff>178905</xdr:rowOff>
    </xdr:from>
    <xdr:to>
      <xdr:col>8</xdr:col>
      <xdr:colOff>315726</xdr:colOff>
      <xdr:row>16</xdr:row>
      <xdr:rowOff>8647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04FA467-325D-4F59-A74D-9DAE211ADE4D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19657</xdr:colOff>
      <xdr:row>13</xdr:row>
      <xdr:rowOff>30922</xdr:rowOff>
    </xdr:from>
    <xdr:to>
      <xdr:col>11</xdr:col>
      <xdr:colOff>21310</xdr:colOff>
      <xdr:row>13</xdr:row>
      <xdr:rowOff>39792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59213BC5-59EB-4E2A-8851-8FF1CBDC6303}"/>
                </a:ext>
              </a:extLst>
            </xdr14:cNvPr>
            <xdr14:cNvContentPartPr/>
          </xdr14:nvContentPartPr>
          <xdr14:nvPr macro=""/>
          <xdr14:xfrm>
            <a:off x="10501920" y="2464560"/>
            <a:ext cx="3240" cy="25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98785D84-CF1D-B641-95BF-C775F71FD83D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0492920" y="2455920"/>
              <a:ext cx="20880" cy="20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25</xdr:row>
      <xdr:rowOff>4507</xdr:rowOff>
    </xdr:from>
    <xdr:to>
      <xdr:col>8</xdr:col>
      <xdr:colOff>0</xdr:colOff>
      <xdr:row>25</xdr:row>
      <xdr:rowOff>18907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3F13478-C45B-4032-A7D2-887E6B14E053}"/>
                </a:ext>
              </a:extLst>
            </xdr14:cNvPr>
            <xdr14:cNvContentPartPr/>
          </xdr14:nvContentPartPr>
          <xdr14:nvPr macro=""/>
          <xdr14:xfrm>
            <a:off x="9956880" y="4295520"/>
            <a:ext cx="5400" cy="144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7F167909-E13E-FEA2-FB9C-3952AD6BE26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948240" y="4286880"/>
              <a:ext cx="2304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302257</xdr:colOff>
      <xdr:row>14</xdr:row>
      <xdr:rowOff>178905</xdr:rowOff>
    </xdr:from>
    <xdr:to>
      <xdr:col>6</xdr:col>
      <xdr:colOff>322071</xdr:colOff>
      <xdr:row>15</xdr:row>
      <xdr:rowOff>2233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602B1012-FD96-4BD3-B12D-20BADBC74750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975178</xdr:colOff>
      <xdr:row>13</xdr:row>
      <xdr:rowOff>30922</xdr:rowOff>
    </xdr:from>
    <xdr:to>
      <xdr:col>3</xdr:col>
      <xdr:colOff>19303</xdr:colOff>
      <xdr:row>13</xdr:row>
      <xdr:rowOff>39792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07F6E412-238B-4162-8BD3-135C5A2C33E7}"/>
                </a:ext>
              </a:extLst>
            </xdr14:cNvPr>
            <xdr14:cNvContentPartPr/>
          </xdr14:nvContentPartPr>
          <xdr14:nvPr macro=""/>
          <xdr14:xfrm>
            <a:off x="10501920" y="2464560"/>
            <a:ext cx="3240" cy="25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98785D84-CF1D-B641-95BF-C775F71FD83D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0492920" y="2455920"/>
              <a:ext cx="20880" cy="20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84217</xdr:colOff>
      <xdr:row>1</xdr:row>
      <xdr:rowOff>4507</xdr:rowOff>
    </xdr:from>
    <xdr:to>
      <xdr:col>4</xdr:col>
      <xdr:colOff>97555</xdr:colOff>
      <xdr:row>1</xdr:row>
      <xdr:rowOff>18907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526DEC5-D53B-4CD0-A270-F4FF69B7E8C0}"/>
                </a:ext>
              </a:extLst>
            </xdr14:cNvPr>
            <xdr14:cNvContentPartPr/>
          </xdr14:nvContentPartPr>
          <xdr14:nvPr macro=""/>
          <xdr14:xfrm>
            <a:off x="9956880" y="4295520"/>
            <a:ext cx="5400" cy="144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7F167909-E13E-FEA2-FB9C-3952AD6BE26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948240" y="4286880"/>
              <a:ext cx="2304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302257</xdr:colOff>
      <xdr:row>37</xdr:row>
      <xdr:rowOff>178905</xdr:rowOff>
    </xdr:from>
    <xdr:to>
      <xdr:col>2</xdr:col>
      <xdr:colOff>321963</xdr:colOff>
      <xdr:row>38</xdr:row>
      <xdr:rowOff>2233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2805717-A953-4C18-AD65-511AE7EB6BF8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19657</xdr:colOff>
      <xdr:row>36</xdr:row>
      <xdr:rowOff>30922</xdr:rowOff>
    </xdr:from>
    <xdr:to>
      <xdr:col>5</xdr:col>
      <xdr:colOff>21310</xdr:colOff>
      <xdr:row>36</xdr:row>
      <xdr:rowOff>39792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778E8D2-E02B-466C-B3ED-0DE9E52014AC}"/>
                </a:ext>
              </a:extLst>
            </xdr14:cNvPr>
            <xdr14:cNvContentPartPr/>
          </xdr14:nvContentPartPr>
          <xdr14:nvPr macro=""/>
          <xdr14:xfrm>
            <a:off x="10501920" y="2464560"/>
            <a:ext cx="3240" cy="25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98785D84-CF1D-B641-95BF-C775F71FD83D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0492920" y="2455920"/>
              <a:ext cx="20880" cy="201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9BC97CF8-2F45-4C56-8B8C-5FF65A4E3EE4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2CE2A023-F590-410E-B4FE-1FC621A84D37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29DB268F-9660-454E-8BBA-926E1D1F791F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48D1C969-2077-4BCE-8F41-297AD3E898E0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C2743932-55DB-4303-BE7B-A5055B1FB7F5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6D4D937E-9937-4597-B222-02DE9A0370E2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F40AECC-C464-43BE-8A9B-EB59D5B0BD3D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667322C2-1373-4823-832A-53387E5850EE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AACA217F-EB4E-4B08-837D-2C706BD2E895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67EED334-3AA0-431B-B608-03FAB01B556F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62002E2C-AC65-4BA5-BAF4-0A54951545F8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302257</xdr:colOff>
      <xdr:row>41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E5EF3C7-744B-48B5-9A2C-AFDF5E794C64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302257</xdr:colOff>
      <xdr:row>41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3905F00F-6E63-4E6B-9E94-FF2E37ECB8C0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302257</xdr:colOff>
      <xdr:row>41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24A9D2FB-BD1F-4FCB-8FC3-941050A5487B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302257</xdr:colOff>
      <xdr:row>41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42A95C61-21B6-409A-A23A-B11C3D799FA2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302257</xdr:colOff>
      <xdr:row>41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B9D890A7-91E3-4DA7-8F5B-458860BC1984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302257</xdr:colOff>
      <xdr:row>41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9388DA10-7C00-4AD9-A63E-AF11972875A2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84217</xdr:colOff>
      <xdr:row>1</xdr:row>
      <xdr:rowOff>4507</xdr:rowOff>
    </xdr:from>
    <xdr:to>
      <xdr:col>4</xdr:col>
      <xdr:colOff>97555</xdr:colOff>
      <xdr:row>1</xdr:row>
      <xdr:rowOff>18907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7D99CF4B-2210-4AE3-AFC9-E5993336E7B6}"/>
                </a:ext>
              </a:extLst>
            </xdr14:cNvPr>
            <xdr14:cNvContentPartPr/>
          </xdr14:nvContentPartPr>
          <xdr14:nvPr macro=""/>
          <xdr14:xfrm>
            <a:off x="9956880" y="4295520"/>
            <a:ext cx="5400" cy="144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7F167909-E13E-FEA2-FB9C-3952AD6BE26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948240" y="4286880"/>
              <a:ext cx="2304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302257</xdr:colOff>
      <xdr:row>37</xdr:row>
      <xdr:rowOff>178905</xdr:rowOff>
    </xdr:from>
    <xdr:to>
      <xdr:col>2</xdr:col>
      <xdr:colOff>321963</xdr:colOff>
      <xdr:row>38</xdr:row>
      <xdr:rowOff>2233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9A20295-159A-4DA0-98EC-F89AF82B1E29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19657</xdr:colOff>
      <xdr:row>36</xdr:row>
      <xdr:rowOff>30922</xdr:rowOff>
    </xdr:from>
    <xdr:to>
      <xdr:col>5</xdr:col>
      <xdr:colOff>21310</xdr:colOff>
      <xdr:row>36</xdr:row>
      <xdr:rowOff>39792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C4F87616-2F64-4478-8116-1D6C53DF38B7}"/>
                </a:ext>
              </a:extLst>
            </xdr14:cNvPr>
            <xdr14:cNvContentPartPr/>
          </xdr14:nvContentPartPr>
          <xdr14:nvPr macro=""/>
          <xdr14:xfrm>
            <a:off x="10501920" y="2464560"/>
            <a:ext cx="3240" cy="25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98785D84-CF1D-B641-95BF-C775F71FD83D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0492920" y="2455920"/>
              <a:ext cx="20880" cy="201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A198362C-7E38-4629-873A-1DF733E1348B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C8EEC01-D41F-4A1E-A697-B977F275651A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A9EBB5C-430E-4B92-9BCF-343214A954EE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071AFCB0-FA5C-4CB2-95E4-5262B79C014B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DC8E27EE-5B6F-4369-9BC4-DFEEF91C5847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EFA7C8B0-2FC7-4BAF-B444-AC00C412A03F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473980EF-64EC-400A-8786-C96D74A7705E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B1DA8467-B00E-46E7-B5F8-4344E18D961F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4B8AD2E2-437F-429E-8683-2930962169A0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07C5C7B6-BB6C-48A3-98F5-3951BD6DFBFD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DFBEC13-86F5-42AA-A917-979082935D96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302257</xdr:colOff>
      <xdr:row>41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25220077-9E3F-4A3F-A6E5-4B8E9BFFBD91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302257</xdr:colOff>
      <xdr:row>41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6691EA9A-0B5B-4C57-BAC3-564CDD61E9C1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302257</xdr:colOff>
      <xdr:row>41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0E8BE5CC-E9D9-42CC-B0F6-C6FBCC6E0CDA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302257</xdr:colOff>
      <xdr:row>41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840D461C-2D92-4FFC-826C-61BFE15CB18F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302257</xdr:colOff>
      <xdr:row>41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A882E1DB-2421-4792-84BA-4CDD80FD62C5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302257</xdr:colOff>
      <xdr:row>41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67D20D0B-DFB1-4D5C-AF74-7517570931BF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C1A3F9BC-9297-4427-B7B1-0553D755C37F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30368CEC-F15B-427C-9443-7851C2E1B5AF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534A7B12-6576-4260-9C5A-D8BDAA2FEC2F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9D4F20E8-24CE-477A-B308-0F21A135ABD7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39A781CB-AFF4-4ADC-95D4-91E6EC94F39C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302257</xdr:colOff>
      <xdr:row>37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94817DA4-208C-4900-9E4F-D0EE95FDF37A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9</xdr:col>
      <xdr:colOff>485775</xdr:colOff>
      <xdr:row>66</xdr:row>
      <xdr:rowOff>19050</xdr:rowOff>
    </xdr:from>
    <xdr:to>
      <xdr:col>15</xdr:col>
      <xdr:colOff>523875</xdr:colOff>
      <xdr:row>91</xdr:row>
      <xdr:rowOff>161924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53D8E8A6-E5F0-673C-F74E-A0AA34E64F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25</xdr:row>
      <xdr:rowOff>4507</xdr:rowOff>
    </xdr:from>
    <xdr:to>
      <xdr:col>8</xdr:col>
      <xdr:colOff>0</xdr:colOff>
      <xdr:row>25</xdr:row>
      <xdr:rowOff>18907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22D2734-F680-4FF5-8675-96949B6B60A5}"/>
                </a:ext>
              </a:extLst>
            </xdr14:cNvPr>
            <xdr14:cNvContentPartPr/>
          </xdr14:nvContentPartPr>
          <xdr14:nvPr macro=""/>
          <xdr14:xfrm>
            <a:off x="9956880" y="4295520"/>
            <a:ext cx="5400" cy="144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7F167909-E13E-FEA2-FB9C-3952AD6BE26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948240" y="4286880"/>
              <a:ext cx="2304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302257</xdr:colOff>
      <xdr:row>14</xdr:row>
      <xdr:rowOff>178905</xdr:rowOff>
    </xdr:from>
    <xdr:to>
      <xdr:col>6</xdr:col>
      <xdr:colOff>317309</xdr:colOff>
      <xdr:row>15</xdr:row>
      <xdr:rowOff>2233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9107B08E-EF34-4E4B-B507-B5F25B8E79C4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975178</xdr:colOff>
      <xdr:row>13</xdr:row>
      <xdr:rowOff>30922</xdr:rowOff>
    </xdr:from>
    <xdr:to>
      <xdr:col>3</xdr:col>
      <xdr:colOff>11610</xdr:colOff>
      <xdr:row>13</xdr:row>
      <xdr:rowOff>39792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6DC8C283-62B7-477C-9218-60DBD62DF052}"/>
                </a:ext>
              </a:extLst>
            </xdr14:cNvPr>
            <xdr14:cNvContentPartPr/>
          </xdr14:nvContentPartPr>
          <xdr14:nvPr macro=""/>
          <xdr14:xfrm>
            <a:off x="10501920" y="2464560"/>
            <a:ext cx="3240" cy="25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98785D84-CF1D-B641-95BF-C775F71FD83D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0492920" y="2455920"/>
              <a:ext cx="20880" cy="201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84217</xdr:colOff>
      <xdr:row>1</xdr:row>
      <xdr:rowOff>4507</xdr:rowOff>
    </xdr:from>
    <xdr:to>
      <xdr:col>3</xdr:col>
      <xdr:colOff>97555</xdr:colOff>
      <xdr:row>1</xdr:row>
      <xdr:rowOff>18907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933C1A65-C8A3-46AD-9814-BD94422BA1F0}"/>
                </a:ext>
              </a:extLst>
            </xdr14:cNvPr>
            <xdr14:cNvContentPartPr/>
          </xdr14:nvContentPartPr>
          <xdr14:nvPr macro=""/>
          <xdr14:xfrm>
            <a:off x="9956880" y="4295520"/>
            <a:ext cx="5400" cy="144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7F167909-E13E-FEA2-FB9C-3952AD6BE26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948240" y="4286880"/>
              <a:ext cx="2304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302257</xdr:colOff>
      <xdr:row>16</xdr:row>
      <xdr:rowOff>178905</xdr:rowOff>
    </xdr:from>
    <xdr:to>
      <xdr:col>1</xdr:col>
      <xdr:colOff>321963</xdr:colOff>
      <xdr:row>17</xdr:row>
      <xdr:rowOff>2233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8833F0BA-3AE6-460F-AA93-9BDFF15CCC32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19657</xdr:colOff>
      <xdr:row>15</xdr:row>
      <xdr:rowOff>30922</xdr:rowOff>
    </xdr:from>
    <xdr:to>
      <xdr:col>4</xdr:col>
      <xdr:colOff>21310</xdr:colOff>
      <xdr:row>15</xdr:row>
      <xdr:rowOff>39792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E55E99FF-9E52-4824-B561-2552EA09AF52}"/>
                </a:ext>
              </a:extLst>
            </xdr14:cNvPr>
            <xdr14:cNvContentPartPr/>
          </xdr14:nvContentPartPr>
          <xdr14:nvPr macro=""/>
          <xdr14:xfrm>
            <a:off x="10501920" y="2464560"/>
            <a:ext cx="3240" cy="25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98785D84-CF1D-B641-95BF-C775F71FD83D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0492920" y="2455920"/>
              <a:ext cx="20880" cy="201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2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3688E8EF-AA24-4AD3-BB31-59272741A9D0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479B553A-AEFA-45BB-A102-7A4863ACD3DC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9369B292-EAF8-4303-92F7-7E4765469074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CC989F25-97B9-48E5-B1D3-327B43BCBC71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0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A4AEC264-95B0-4470-A1CC-A8B355E8741E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0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73E40DB8-D9AE-400E-88E2-28D78E9E8D7B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DFF206F2-1717-4330-9C50-CC68CD51A0BB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43C19463-0A0A-4C51-825E-B5E5BB2AE62B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A93A3AF6-020C-43C7-A359-9429D6623CD6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0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6BD435BA-FF27-477B-AEE3-62584D5FABF7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0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F731FDF2-EA16-4AC9-8818-8BC0F8F60101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302257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C3717641-9E82-4EC4-9073-2306D15F2B2A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302257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F552DE2B-4E47-4F64-893F-B1F61E9D4F15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302257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65531827-A0E1-4FF7-A7CA-37A132A2B185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302257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31ACF14A-BCE6-43B9-91BF-EAC7F2C3B8F2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0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4D1E1007-F796-4586-804B-8B39A76BE502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0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62C38F94-B011-4BDC-B044-6757F8931EA4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D772AC0D-89A7-423C-A467-DA71A233223F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CBB051A1-BDE9-43B6-9C6A-BAA60840A004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84217</xdr:colOff>
      <xdr:row>0</xdr:row>
      <xdr:rowOff>0</xdr:rowOff>
    </xdr:from>
    <xdr:to>
      <xdr:col>4</xdr:col>
      <xdr:colOff>97555</xdr:colOff>
      <xdr:row>0</xdr:row>
      <xdr:rowOff>14400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C6A97ED1-D46E-47CB-8B30-24E8FB211A1E}"/>
                </a:ext>
              </a:extLst>
            </xdr14:cNvPr>
            <xdr14:cNvContentPartPr/>
          </xdr14:nvContentPartPr>
          <xdr14:nvPr macro=""/>
          <xdr14:xfrm>
            <a:off x="9956880" y="4295520"/>
            <a:ext cx="5400" cy="14400"/>
          </xdr14:xfrm>
        </xdr:contentPart>
      </mc:Choice>
      <mc:Fallback xmlns="">
        <xdr:pic>
          <xdr:nvPicPr>
            <xdr:cNvPr id="66" name="Ink 65">
              <a:extLst>
                <a:ext uri="{FF2B5EF4-FFF2-40B4-BE49-F238E27FC236}">
                  <a16:creationId xmlns:a16="http://schemas.microsoft.com/office/drawing/2014/main" id="{7F167909-E13E-FEA2-FB9C-3952AD6BE266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9948240" y="4286880"/>
              <a:ext cx="23040" cy="3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302257</xdr:colOff>
      <xdr:row>19</xdr:row>
      <xdr:rowOff>178905</xdr:rowOff>
    </xdr:from>
    <xdr:to>
      <xdr:col>2</xdr:col>
      <xdr:colOff>321963</xdr:colOff>
      <xdr:row>20</xdr:row>
      <xdr:rowOff>2233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1D2DFBF2-DCBB-4993-983A-B27D52E183D1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19657</xdr:colOff>
      <xdr:row>15</xdr:row>
      <xdr:rowOff>30922</xdr:rowOff>
    </xdr:from>
    <xdr:to>
      <xdr:col>5</xdr:col>
      <xdr:colOff>21310</xdr:colOff>
      <xdr:row>15</xdr:row>
      <xdr:rowOff>39792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78C3D9F-79CB-4E0D-901B-CFCB5CB202B6}"/>
                </a:ext>
              </a:extLst>
            </xdr14:cNvPr>
            <xdr14:cNvContentPartPr/>
          </xdr14:nvContentPartPr>
          <xdr14:nvPr macro=""/>
          <xdr14:xfrm>
            <a:off x="10501920" y="2464560"/>
            <a:ext cx="3240" cy="2520"/>
          </xdr14:xfrm>
        </xdr:contentPart>
      </mc:Choice>
      <mc:Fallback xmlns="">
        <xdr:pic>
          <xdr:nvPicPr>
            <xdr:cNvPr id="106" name="Ink 105">
              <a:extLst>
                <a:ext uri="{FF2B5EF4-FFF2-40B4-BE49-F238E27FC236}">
                  <a16:creationId xmlns:a16="http://schemas.microsoft.com/office/drawing/2014/main" id="{98785D84-CF1D-B641-95BF-C775F71FD83D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10492920" y="2455920"/>
              <a:ext cx="20880" cy="2016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302257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FC4F48BD-C705-4D61-B7FE-8B23685C4A62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302257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DA8583DB-8EC2-4EA8-AFD4-C2856788D151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302257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34881142-801A-40DD-A66F-999772C19874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302257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C5E489CD-89CD-417A-ABA9-5F2F64E47B5E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DB03B753-54AE-440F-8F20-7428AFB96B00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2C092CEF-CA5F-4CE7-BDBD-D0BC23187514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302257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F48DE968-215F-4CCF-90F5-BE01EC013170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302257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CBD27620-3CCF-4EAC-95F0-58A752EB1429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302257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0BAE03F0-1C02-421B-8AD2-D94DFA172541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FB8993BF-4341-4CA5-B4B1-03FF26CC30F6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C03174C8-CA74-43AA-9236-637C3F88B565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302257</xdr:colOff>
      <xdr:row>19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FE7C4239-F372-40A9-9ABE-1FFCC922BF4E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302257</xdr:colOff>
      <xdr:row>19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6C176BC0-E6B8-4E38-A177-CE564A4013A1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302257</xdr:colOff>
      <xdr:row>19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A37D1FB9-58DC-4865-A67D-C4612E7E83AD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302257</xdr:colOff>
      <xdr:row>19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35A103B5-0CF1-4E3D-8ABD-9D0119B31724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302257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6BA41962-A4E6-4997-A648-A6D65460889F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302257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52705EE4-9324-4286-8866-F0B1A5790C0B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302257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2B6A27F5-5900-4C87-AB66-3B3CF145103B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302257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EA40E89E-8474-4F7E-B895-B797C6CFBEDB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8C507963-8497-458B-B499-D6B3235B7E55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7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889CF213-1E9C-40EF-970F-8950401639E7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8316557B-DD83-45B4-AEEF-C380E2C1A643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8</xdr:col>
      <xdr:colOff>302257</xdr:colOff>
      <xdr:row>16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DA2F2927-AA5D-42BF-9FB6-D496D60BF7D4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2</xdr:col>
      <xdr:colOff>302257</xdr:colOff>
      <xdr:row>20</xdr:row>
      <xdr:rowOff>178905</xdr:rowOff>
    </xdr:from>
    <xdr:ext cx="15035" cy="6918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243816AF-F0F1-437C-9DFD-FEE9014AD497}"/>
                </a:ext>
              </a:extLst>
            </xdr14:cNvPr>
            <xdr14:cNvContentPartPr/>
          </xdr14:nvContentPartPr>
          <xdr14:nvPr macro=""/>
          <xdr14:xfrm>
            <a:off x="8955720" y="2798280"/>
            <a:ext cx="11880" cy="12240"/>
          </xdr14:xfrm>
        </xdr:contentPart>
      </mc:Choice>
      <mc:Fallback xmlns="">
        <xdr:pic>
          <xdr:nvPicPr>
            <xdr:cNvPr id="73" name="Ink 72">
              <a:extLst>
                <a:ext uri="{FF2B5EF4-FFF2-40B4-BE49-F238E27FC236}">
                  <a16:creationId xmlns:a16="http://schemas.microsoft.com/office/drawing/2014/main" id="{D717A23B-04A7-723A-A83C-F7696B2113B0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8947080" y="2789280"/>
              <a:ext cx="29520" cy="2988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3%20Finance/2025/2025%20Budget%20and%20Actual%20cashflow.xlsx" TargetMode="External"/><Relationship Id="rId2" Type="http://schemas.openxmlformats.org/officeDocument/2006/relationships/externalLinkPath" Target="https://d.docs.live.net/dd83cd9dcdfbce1b/Documents/3%20Finance/2025/2025%20Budget%20and%20Actual%20cashflow.xlsx" TargetMode="External"/><Relationship Id="rId1" Type="http://schemas.openxmlformats.org/officeDocument/2006/relationships/externalLinkPath" Target="/dd83cd9dcdfbce1b/Documents/3%20Finance/2025/2025%20Budget%20and%20Actual%20cashflo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sh Flow KR only"/>
      <sheetName val="Balance Sheet forecast"/>
      <sheetName val="657 Exit work sheet"/>
      <sheetName val="Cashflow Summary"/>
      <sheetName val="Personal cashflow forecast"/>
      <sheetName val="Homesly cashflow"/>
      <sheetName val="657A Cashflow"/>
      <sheetName val="Pellatt Str"/>
      <sheetName val="July 24- 657A Cashflow"/>
      <sheetName val="superanuation pooling"/>
      <sheetName val="Property dev plan"/>
    </sheetNames>
    <sheetDataSet>
      <sheetData sheetId="0"/>
      <sheetData sheetId="1"/>
      <sheetData sheetId="2"/>
      <sheetData sheetId="3">
        <row r="68">
          <cell r="O68">
            <v>22229.31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28T11:04:46.8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40 159 0 0,'-5'-20'0'0'0,"-3"1"0"0"0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28T11:04:46.878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28T11:04:46.87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55 23 175 0 0,'0'-6'0'0'0,"0"3"0"0"0,-55-7 0 0 0,55 10 0 0 0,0 0 0 0 0,0-3 0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2T12:00:39.64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40 159 0 0,'-5'-20'0'0'0,"-3"1"0"0"0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2T12:00:39.65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2T12:00:39.65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8 6 175 0 0,'-1'-1'0'0'0,"0"0"0"0"0,-1-1 0 0 0,-1 2 0 0 0,2 0 0 0 0,1-1 0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2T12:35:11.45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40 159 0 0,'-5'-20'0'0'0,"-3"1"0"0"0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2T12:35:11.45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2-12T12:35:11.45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8 6 175 0 0,'-1'-1'0'0'0,"0"0"0"0"0,-1-1 0 0 0,-1 2 0 0 0,2 0 0 0 0,1-1 0 0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29T01:49:21.37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40 159 0 0,'-5'-20'0'0'0,"-3"1"0"0"0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29T01:49:21.37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29T01:49:21.38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9 8 175 0 0,'0'-2'0'0'0,"0"1"0"0"0,-9-2 0 0 0,9 3 0 0 0,0 0 0 0 0,0-1 0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40 159 0 0,'-5'-20'0'0'0,"-3"1"0"0"0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2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30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8 6 175 0 0,'-1'-1'0'0'0,"0"0"0"0"0,-1-1 0 0 0,-1 2 0 0 0,2 0 0 0 0,1-1 0 0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3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3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3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34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3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3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3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38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3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4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4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4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4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44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4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4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45:16.64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7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40 159 0 0,'-5'-20'0'0'0,"-3"1"0"0"0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7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72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8 6 175 0 0,'-1'-1'0'0'0,"0"0"0"0"0,-1-1 0 0 0,-1 2 0 0 0,2 0 0 0 0,1-1 0 0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7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74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7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7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7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78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7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8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8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8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8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84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8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8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8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88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1T07:14:21.18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54:53.08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54:53.08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54:53.104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54:53.10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54:53.11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4-25T01:54:53.11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28T23:22:08.7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40 159 0 0,'-5'-20'0'0'0,"-3"1"0"0"0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28T23:22:08.76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10-28T23:22:08.767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210 25 175 0 0,'0'-7'0'0'0,"0"4"0"0"0,-210-8 0 0 0,210 11 0 0 0,0 0 0 0 0,0-3 0 0 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8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40 159 0 0,'-5'-20'0'0'0,"-3"1"0"0"0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8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84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8 6 175 0 0,'-1'-1'0'0'0,"0"0"0"0"0,-1-1 0 0 0,-1 2 0 0 0,2 0 0 0 0,1-1 0 0 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8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8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8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88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8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9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9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9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9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94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9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9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9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98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39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40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40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40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5-04T03:29:16.40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3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14 40 159 0 0,'-5'-20'0'0'0,"-3"1"0"0"0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38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39"/>
    </inkml:context>
    <inkml:brush xml:id="br0">
      <inkml:brushProperty name="width" value="0.05" units="cm"/>
      <inkml:brushProperty name="height" value="0.05" units="cm"/>
      <inkml:brushProperty name="color" value="#008C3A"/>
    </inkml:brush>
  </inkml:definitions>
  <inkml:trace contextRef="#ctx0" brushRef="#br0">8 6 175 0 0,'-1'-1'0'0'0,"0"0"0"0"0,-1-1 0 0 0,-1 2 0 0 0,2 0 0 0 0,1-1 0 0 0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4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4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4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4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44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4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4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4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48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4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5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5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5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53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54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55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56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5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58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59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60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61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7:45:26.562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5-06-24T08:01:31.317"/>
    </inkml:context>
    <inkml:brush xml:id="br0">
      <inkml:brushProperty name="width" value="0.05" units="cm"/>
      <inkml:brushProperty name="height" value="0.05" units="cm"/>
      <inkml:brushProperty name="color" value="#5B2D90"/>
    </inkml:brush>
  </inkml:definitions>
  <inkml:trace contextRef="#ctx0" brushRef="#br0">29 34 111 0 0,'0'0'0'0'0,"0"-1"0"0"0,0 1 0 0 0,1 0 0 0 0,-1 0 0 0 0,0 0 0 0 0,1 0 0 0 0,-1-1 0 0 0,0 1 0 0 0,0 0 0 0 0,0 0 0 0 0,1 0 0 0 0,-1-1 0 0 0,0 1 0 0 0,0 0 0 0 0,0 0 0 0 0,0-1 0 0 0,1 1 0 0 0,-1 0 0 0 0,0-1 0 0 0,0 1 0 0 0,0 0 0 0 0,0 0 0 0 0,0-1 0 0 0,0 1 0 0 0,0 0 0 0 0,0-1 0 0 0,0 1 0 0 0,0 0 0 0 0,0-1 0 0 0,0 1 0 0 0,0 0 0 0 0,0-1 0 0 0,0 1 0 0 0,0 0 0 0 0,0 0 0 0 0,0-1 0 0 0,-1 1 0 0 0,1 0 0 0 0,0 0 0 0 0,0-1 0 0 0,0 1 0 0 0,0 0 0 0 0,-1 0 0 0 0,1-1 0 0 0,0 1 0 0 0,-1 0 0 0 0,-13-11 0 0 0,7 7 0 0 0,2-1 0 0 0,2 3 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1FCCC-31D6-469D-805A-FF89042221E9}">
  <dimension ref="A2:F37"/>
  <sheetViews>
    <sheetView zoomScale="104" zoomScaleNormal="235" workbookViewId="0">
      <selection activeCell="G48" sqref="G48"/>
    </sheetView>
  </sheetViews>
  <sheetFormatPr defaultRowHeight="15" x14ac:dyDescent="0.25"/>
  <cols>
    <col min="1" max="1" width="27.7109375" customWidth="1"/>
    <col min="2" max="2" width="18.140625" style="5" customWidth="1"/>
    <col min="3" max="3" width="12.5703125" customWidth="1"/>
    <col min="5" max="5" width="11.5703125" bestFit="1" customWidth="1"/>
  </cols>
  <sheetData>
    <row r="2" spans="1:6" x14ac:dyDescent="0.25">
      <c r="A2" t="s">
        <v>312</v>
      </c>
      <c r="B2" s="5" t="s">
        <v>295</v>
      </c>
      <c r="C2" t="s">
        <v>316</v>
      </c>
      <c r="D2" t="s">
        <v>317</v>
      </c>
      <c r="E2" t="s">
        <v>280</v>
      </c>
    </row>
    <row r="3" spans="1:6" x14ac:dyDescent="0.25">
      <c r="A3" t="s">
        <v>319</v>
      </c>
      <c r="B3" s="5">
        <f>'7 Yr Valuation &amp; Cashflow'!L8</f>
        <v>1199892.0000000002</v>
      </c>
      <c r="C3" s="5">
        <f>'7 Yr Valuation &amp; Cashflow'!D22</f>
        <v>539448</v>
      </c>
      <c r="D3" s="6">
        <f>'7 Yr Valuation &amp; Cashflow'!M15</f>
        <v>0.60352941176470587</v>
      </c>
      <c r="E3" s="163">
        <f>+(100%-D3)*C3</f>
        <v>213875.26588235295</v>
      </c>
      <c r="F3" t="s">
        <v>320</v>
      </c>
    </row>
    <row r="4" spans="1:6" x14ac:dyDescent="0.25">
      <c r="A4" t="s">
        <v>313</v>
      </c>
      <c r="B4" s="5">
        <f>'2 x Land Sales@ 70LVR'!F27</f>
        <v>1164104.0000000002</v>
      </c>
      <c r="C4" s="5">
        <f>'2 x Land Sales@ 70LVR'!B90</f>
        <v>359375.80000000028</v>
      </c>
      <c r="D4" s="11">
        <f>'2 x Land Sales@ 70LVR'!D59</f>
        <v>0.50676470588235289</v>
      </c>
      <c r="E4" s="163">
        <f t="shared" ref="E4:E6" si="0">+(100%-D4)*C4</f>
        <v>177256.82841176487</v>
      </c>
    </row>
    <row r="5" spans="1:6" x14ac:dyDescent="0.25">
      <c r="A5" t="s">
        <v>314</v>
      </c>
      <c r="B5" s="5">
        <f>'2 x Land Sales@ 80 LVR'!F28</f>
        <v>942047.59999999986</v>
      </c>
      <c r="C5" s="5">
        <f>'2 x Land Sales@ 80 LVR'!B75</f>
        <v>271875</v>
      </c>
      <c r="D5" s="11">
        <f>'2 x Land Sales@ 80 LVR'!E50</f>
        <v>0.42352941176470588</v>
      </c>
      <c r="E5" s="163">
        <f t="shared" si="0"/>
        <v>156727.94117647057</v>
      </c>
    </row>
    <row r="6" spans="1:6" x14ac:dyDescent="0.25">
      <c r="A6" t="s">
        <v>315</v>
      </c>
      <c r="B6" s="5">
        <f>'Sell 1 hold 1 at 70% LVR'!F27</f>
        <v>1170852.0000000002</v>
      </c>
      <c r="C6" s="5">
        <f>'Sell 1 hold 1 at 70% LVR'!D59</f>
        <v>397764.08000000007</v>
      </c>
      <c r="D6" s="6">
        <v>0.6</v>
      </c>
      <c r="E6" s="163">
        <f t="shared" si="0"/>
        <v>159105.63200000004</v>
      </c>
      <c r="F6" t="s">
        <v>320</v>
      </c>
    </row>
    <row r="13" spans="1:6" hidden="1" x14ac:dyDescent="0.25">
      <c r="A13" t="s">
        <v>478</v>
      </c>
    </row>
    <row r="14" spans="1:6" hidden="1" x14ac:dyDescent="0.25"/>
    <row r="15" spans="1:6" hidden="1" x14ac:dyDescent="0.25">
      <c r="A15" t="s">
        <v>483</v>
      </c>
      <c r="B15" s="5" t="s">
        <v>479</v>
      </c>
      <c r="C15" t="s">
        <v>480</v>
      </c>
      <c r="D15" t="s">
        <v>496</v>
      </c>
    </row>
    <row r="16" spans="1:6" hidden="1" x14ac:dyDescent="0.25"/>
    <row r="17" spans="1:4" hidden="1" x14ac:dyDescent="0.25">
      <c r="A17" t="s">
        <v>481</v>
      </c>
      <c r="B17" s="5">
        <v>76400</v>
      </c>
      <c r="C17">
        <f>30000*1.1</f>
        <v>33000</v>
      </c>
    </row>
    <row r="18" spans="1:4" hidden="1" x14ac:dyDescent="0.25">
      <c r="A18" t="s">
        <v>482</v>
      </c>
      <c r="D18">
        <v>36300</v>
      </c>
    </row>
    <row r="19" spans="1:4" hidden="1" x14ac:dyDescent="0.25">
      <c r="A19" t="s">
        <v>484</v>
      </c>
      <c r="C19">
        <f>350*1.1</f>
        <v>385.00000000000006</v>
      </c>
      <c r="D19">
        <v>0</v>
      </c>
    </row>
    <row r="20" spans="1:4" hidden="1" x14ac:dyDescent="0.25">
      <c r="A20" t="s">
        <v>485</v>
      </c>
      <c r="B20" s="5">
        <f>550*10</f>
        <v>5500</v>
      </c>
      <c r="C20" s="5">
        <f>550*10</f>
        <v>5500</v>
      </c>
      <c r="D20" s="5">
        <f>550*10</f>
        <v>5500</v>
      </c>
    </row>
    <row r="21" spans="1:4" hidden="1" x14ac:dyDescent="0.25">
      <c r="A21" t="s">
        <v>486</v>
      </c>
      <c r="B21" s="5">
        <f>770*10</f>
        <v>7700</v>
      </c>
      <c r="C21">
        <f>252*10</f>
        <v>2520</v>
      </c>
      <c r="D21">
        <f>252*10</f>
        <v>2520</v>
      </c>
    </row>
    <row r="22" spans="1:4" hidden="1" x14ac:dyDescent="0.25">
      <c r="A22" t="s">
        <v>487</v>
      </c>
      <c r="B22" s="5">
        <v>880</v>
      </c>
      <c r="D22">
        <v>600</v>
      </c>
    </row>
    <row r="23" spans="1:4" hidden="1" x14ac:dyDescent="0.25">
      <c r="A23" t="s">
        <v>488</v>
      </c>
      <c r="B23" s="5">
        <v>1540</v>
      </c>
      <c r="C23">
        <f>1200*1.1</f>
        <v>1320</v>
      </c>
    </row>
    <row r="24" spans="1:4" hidden="1" x14ac:dyDescent="0.25">
      <c r="A24" t="s">
        <v>489</v>
      </c>
      <c r="B24" s="182"/>
      <c r="C24" s="182">
        <f>250*1.1</f>
        <v>275</v>
      </c>
    </row>
    <row r="25" spans="1:4" hidden="1" x14ac:dyDescent="0.25">
      <c r="A25" t="s">
        <v>490</v>
      </c>
      <c r="C25">
        <f>250*1.1</f>
        <v>275</v>
      </c>
    </row>
    <row r="26" spans="1:4" hidden="1" x14ac:dyDescent="0.25"/>
    <row r="27" spans="1:4" hidden="1" x14ac:dyDescent="0.25"/>
    <row r="28" spans="1:4" hidden="1" x14ac:dyDescent="0.25">
      <c r="A28" t="s">
        <v>89</v>
      </c>
      <c r="B28" s="5">
        <f>SUM(B17:B27)</f>
        <v>92020</v>
      </c>
      <c r="C28" s="5">
        <f>SUM(C17:C27)</f>
        <v>43275</v>
      </c>
    </row>
    <row r="29" spans="1:4" hidden="1" x14ac:dyDescent="0.25">
      <c r="A29" t="s">
        <v>90</v>
      </c>
      <c r="C29" s="6">
        <v>0.2</v>
      </c>
      <c r="D29" s="6">
        <v>0.3</v>
      </c>
    </row>
    <row r="30" spans="1:4" hidden="1" x14ac:dyDescent="0.25">
      <c r="A30" t="s">
        <v>494</v>
      </c>
      <c r="B30" s="5" t="s">
        <v>495</v>
      </c>
      <c r="C30" t="s">
        <v>495</v>
      </c>
      <c r="D30" s="164" t="s">
        <v>497</v>
      </c>
    </row>
    <row r="31" spans="1:4" hidden="1" x14ac:dyDescent="0.25"/>
    <row r="32" spans="1:4" hidden="1" x14ac:dyDescent="0.25">
      <c r="A32" t="s">
        <v>491</v>
      </c>
      <c r="B32" s="5" t="s">
        <v>492</v>
      </c>
      <c r="C32" t="s">
        <v>493</v>
      </c>
    </row>
    <row r="33" spans="1:2" hidden="1" x14ac:dyDescent="0.25">
      <c r="A33">
        <v>92</v>
      </c>
      <c r="B33" s="5">
        <v>15.3</v>
      </c>
    </row>
    <row r="34" spans="1:2" hidden="1" x14ac:dyDescent="0.25">
      <c r="A34">
        <v>94</v>
      </c>
      <c r="B34" s="5">
        <v>14.8</v>
      </c>
    </row>
    <row r="35" spans="1:2" hidden="1" x14ac:dyDescent="0.25">
      <c r="A35">
        <v>96</v>
      </c>
      <c r="B35" s="5">
        <v>15.3</v>
      </c>
    </row>
    <row r="36" spans="1:2" hidden="1" x14ac:dyDescent="0.25">
      <c r="B36" s="5">
        <f>SUM(B33:B35)</f>
        <v>45.400000000000006</v>
      </c>
    </row>
    <row r="37" spans="1:2" hidden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B34D-6D69-4FBB-8C66-8C6181BFFEB8}">
  <dimension ref="A1:S45"/>
  <sheetViews>
    <sheetView zoomScale="86" zoomScaleNormal="145" workbookViewId="0">
      <selection activeCell="C41" sqref="C41"/>
    </sheetView>
  </sheetViews>
  <sheetFormatPr defaultRowHeight="15" x14ac:dyDescent="0.25"/>
  <cols>
    <col min="1" max="1" width="39.5703125" customWidth="1"/>
    <col min="2" max="2" width="16.5703125" customWidth="1"/>
    <col min="3" max="3" width="19" customWidth="1"/>
    <col min="4" max="4" width="16.5703125" customWidth="1"/>
    <col min="5" max="5" width="13.5703125" customWidth="1"/>
    <col min="6" max="6" width="15.5703125" customWidth="1"/>
    <col min="7" max="7" width="14.140625" customWidth="1"/>
    <col min="8" max="8" width="12.42578125" customWidth="1"/>
    <col min="9" max="9" width="11.5703125" customWidth="1"/>
    <col min="10" max="10" width="17" customWidth="1"/>
    <col min="11" max="11" width="15.5703125" customWidth="1"/>
    <col min="12" max="12" width="12.5703125" bestFit="1" customWidth="1"/>
    <col min="18" max="18" width="14.42578125" bestFit="1" customWidth="1"/>
  </cols>
  <sheetData>
    <row r="1" spans="1:19" x14ac:dyDescent="0.25">
      <c r="A1" s="16" t="s">
        <v>0</v>
      </c>
      <c r="B1" s="17">
        <v>1</v>
      </c>
      <c r="C1" s="82"/>
      <c r="D1" s="82"/>
      <c r="I1" t="s">
        <v>202</v>
      </c>
      <c r="J1" t="s">
        <v>331</v>
      </c>
      <c r="K1" t="s">
        <v>336</v>
      </c>
      <c r="L1" t="s">
        <v>340</v>
      </c>
    </row>
    <row r="2" spans="1:19" x14ac:dyDescent="0.25">
      <c r="A2" s="19"/>
      <c r="B2" s="20">
        <v>2026</v>
      </c>
      <c r="C2" s="82"/>
      <c r="D2" s="82"/>
      <c r="H2" t="s">
        <v>330</v>
      </c>
      <c r="I2">
        <v>800000</v>
      </c>
      <c r="J2" s="6">
        <v>0.42</v>
      </c>
      <c r="K2" s="261">
        <f>(100000/I2)*J2</f>
        <v>5.2499999999999998E-2</v>
      </c>
      <c r="L2" s="5">
        <f>(100%/J2)*I2</f>
        <v>1904761.9047619049</v>
      </c>
    </row>
    <row r="3" spans="1:19" x14ac:dyDescent="0.25">
      <c r="A3" s="22" t="s">
        <v>1</v>
      </c>
      <c r="B3" s="10">
        <f>'7 Yr Valuation &amp; Cashflow'!C5</f>
        <v>2760000</v>
      </c>
      <c r="C3" s="233"/>
      <c r="D3" s="233"/>
      <c r="H3" t="s">
        <v>332</v>
      </c>
      <c r="I3">
        <v>450000</v>
      </c>
      <c r="J3" s="6">
        <v>0.18</v>
      </c>
      <c r="K3" s="261">
        <f>(100000/I3)*J3</f>
        <v>3.9999999999999994E-2</v>
      </c>
      <c r="L3" s="5">
        <f>(100%/J3)*I3</f>
        <v>2500000</v>
      </c>
    </row>
    <row r="4" spans="1:19" x14ac:dyDescent="0.25">
      <c r="A4" s="22" t="s">
        <v>2</v>
      </c>
      <c r="B4" s="10">
        <f>'7 Yr Valuation &amp; Cashflow'!C7</f>
        <v>165600</v>
      </c>
      <c r="C4" s="233"/>
      <c r="D4" s="233"/>
      <c r="I4">
        <f>SUM(I2:I3)</f>
        <v>1250000</v>
      </c>
      <c r="J4" s="6">
        <f>SUM(J2:J3)</f>
        <v>0.6</v>
      </c>
    </row>
    <row r="5" spans="1:19" x14ac:dyDescent="0.25">
      <c r="A5" s="26" t="s">
        <v>370</v>
      </c>
      <c r="B5" s="10">
        <f>'7 Yr Valuation &amp; Cashflow'!C8</f>
        <v>15000</v>
      </c>
      <c r="C5" s="233"/>
      <c r="D5" s="233"/>
    </row>
    <row r="6" spans="1:19" x14ac:dyDescent="0.25">
      <c r="A6" s="22" t="s">
        <v>4</v>
      </c>
      <c r="B6" s="10">
        <f>'7 Yr Valuation &amp; Cashflow'!C9</f>
        <v>40000</v>
      </c>
      <c r="C6" s="233"/>
      <c r="D6" s="233"/>
      <c r="H6" t="s">
        <v>333</v>
      </c>
    </row>
    <row r="7" spans="1:19" x14ac:dyDescent="0.25">
      <c r="A7" s="22" t="s">
        <v>193</v>
      </c>
      <c r="B7" s="10">
        <f>'Senior Funding Model'!D20</f>
        <v>22251.999999999996</v>
      </c>
      <c r="C7" s="233"/>
      <c r="D7" s="233"/>
      <c r="H7" t="s">
        <v>334</v>
      </c>
      <c r="I7">
        <f>200000</f>
        <v>200000</v>
      </c>
      <c r="K7" s="261"/>
    </row>
    <row r="8" spans="1:19" x14ac:dyDescent="0.25">
      <c r="A8" s="22" t="s">
        <v>5</v>
      </c>
      <c r="B8" s="10">
        <f>'Sell 1 hold 1 at 70% LVR'!C26</f>
        <v>129040</v>
      </c>
      <c r="C8" s="233"/>
      <c r="D8" s="233"/>
      <c r="H8" t="s">
        <v>335</v>
      </c>
    </row>
    <row r="9" spans="1:19" x14ac:dyDescent="0.25">
      <c r="A9" s="27" t="s">
        <v>6</v>
      </c>
      <c r="B9" s="29">
        <f>SUM(B3:B8)</f>
        <v>3131892</v>
      </c>
      <c r="C9" s="274"/>
      <c r="D9" s="274"/>
    </row>
    <row r="10" spans="1:19" x14ac:dyDescent="0.25">
      <c r="A10" s="22"/>
      <c r="B10" s="149"/>
      <c r="C10" s="233"/>
      <c r="D10" s="233"/>
    </row>
    <row r="11" spans="1:19" x14ac:dyDescent="0.25">
      <c r="A11" s="152" t="s">
        <v>7</v>
      </c>
      <c r="B11" s="153">
        <v>2760000</v>
      </c>
      <c r="C11" s="153"/>
      <c r="D11" s="153"/>
      <c r="H11" t="s">
        <v>372</v>
      </c>
    </row>
    <row r="12" spans="1:19" x14ac:dyDescent="0.25">
      <c r="A12" s="22" t="s">
        <v>261</v>
      </c>
      <c r="B12" s="12">
        <v>0.7</v>
      </c>
      <c r="C12" s="12"/>
      <c r="D12" s="12"/>
      <c r="H12" t="s">
        <v>279</v>
      </c>
      <c r="I12" t="s">
        <v>377</v>
      </c>
      <c r="J12" t="s">
        <v>378</v>
      </c>
      <c r="R12" s="5">
        <v>2950000</v>
      </c>
    </row>
    <row r="13" spans="1:19" x14ac:dyDescent="0.25">
      <c r="A13" s="22" t="s">
        <v>8</v>
      </c>
      <c r="B13" s="2">
        <f>+B11*B12</f>
        <v>1931999.9999999998</v>
      </c>
      <c r="C13" s="2"/>
      <c r="D13" s="2"/>
      <c r="H13" t="s">
        <v>373</v>
      </c>
      <c r="I13" s="4">
        <f>B13</f>
        <v>1931999.9999999998</v>
      </c>
      <c r="J13" s="4">
        <f>+I13</f>
        <v>1931999.9999999998</v>
      </c>
      <c r="R13">
        <v>-100000</v>
      </c>
      <c r="S13" t="s">
        <v>90</v>
      </c>
    </row>
    <row r="14" spans="1:19" x14ac:dyDescent="0.25">
      <c r="A14" s="22" t="s">
        <v>9</v>
      </c>
      <c r="B14" s="9">
        <f>$B$9-(B11*B12)</f>
        <v>1199892.0000000002</v>
      </c>
      <c r="C14" s="9"/>
      <c r="D14" s="9"/>
      <c r="H14" t="s">
        <v>374</v>
      </c>
      <c r="I14" s="150">
        <f>800000</f>
        <v>800000</v>
      </c>
      <c r="J14" s="4">
        <f>+J13+I14</f>
        <v>2732000</v>
      </c>
      <c r="R14">
        <v>-1932000</v>
      </c>
    </row>
    <row r="15" spans="1:19" x14ac:dyDescent="0.25">
      <c r="A15" s="22"/>
      <c r="B15" s="9"/>
      <c r="C15" s="9"/>
      <c r="D15" s="9"/>
      <c r="H15" t="s">
        <v>375</v>
      </c>
      <c r="I15" s="53">
        <v>200000</v>
      </c>
      <c r="J15" s="53">
        <f>+J14+I15</f>
        <v>2932000</v>
      </c>
      <c r="R15" s="7">
        <f>SUM(R12:R14)</f>
        <v>918000</v>
      </c>
    </row>
    <row r="16" spans="1:19" x14ac:dyDescent="0.25">
      <c r="A16" s="286" t="s">
        <v>194</v>
      </c>
      <c r="B16" s="287" t="s">
        <v>391</v>
      </c>
      <c r="C16" s="288" t="s">
        <v>389</v>
      </c>
      <c r="D16" s="275"/>
      <c r="H16" t="s">
        <v>376</v>
      </c>
      <c r="I16" s="4"/>
    </row>
    <row r="17" spans="1:10" ht="30" x14ac:dyDescent="0.25">
      <c r="A17" s="289" t="s">
        <v>392</v>
      </c>
      <c r="B17" s="2">
        <v>600000</v>
      </c>
      <c r="C17" s="290">
        <f>((400000/850000)*0.45)+(200000/450000)*0.18</f>
        <v>0.29176470588235293</v>
      </c>
      <c r="D17" s="276"/>
      <c r="E17" s="11"/>
      <c r="F17" s="6"/>
    </row>
    <row r="18" spans="1:10" x14ac:dyDescent="0.25">
      <c r="A18" s="8" t="s">
        <v>393</v>
      </c>
      <c r="B18" s="2">
        <v>195000</v>
      </c>
      <c r="C18" s="290">
        <f>(B18/850000)*0.45</f>
        <v>0.10323529411764705</v>
      </c>
      <c r="D18" s="276"/>
      <c r="E18" s="11"/>
      <c r="F18" s="6"/>
    </row>
    <row r="19" spans="1:10" x14ac:dyDescent="0.25">
      <c r="A19" s="8" t="s">
        <v>422</v>
      </c>
      <c r="B19" s="2">
        <v>200000</v>
      </c>
      <c r="C19" s="290">
        <f>(B19/850000)*0.45</f>
        <v>0.10588235294117647</v>
      </c>
      <c r="D19" s="277"/>
      <c r="E19" s="11"/>
    </row>
    <row r="20" spans="1:10" x14ac:dyDescent="0.25">
      <c r="A20" s="8" t="s">
        <v>390</v>
      </c>
      <c r="B20" s="2"/>
      <c r="C20" s="290">
        <f>100%-C17-C18-C19</f>
        <v>0.4991176470588235</v>
      </c>
      <c r="D20" s="277"/>
      <c r="F20" s="11" t="s">
        <v>425</v>
      </c>
    </row>
    <row r="21" spans="1:10" x14ac:dyDescent="0.25">
      <c r="A21" s="291" t="s">
        <v>89</v>
      </c>
      <c r="B21" s="150">
        <f>SUM(B17:B20)</f>
        <v>995000</v>
      </c>
      <c r="C21" s="294">
        <f>SUM(C17:C20)</f>
        <v>1</v>
      </c>
      <c r="D21" s="277"/>
      <c r="F21" s="296" t="s">
        <v>426</v>
      </c>
      <c r="G21" s="297" t="s">
        <v>11</v>
      </c>
      <c r="H21" s="297" t="s">
        <v>12</v>
      </c>
      <c r="I21" s="297" t="s">
        <v>234</v>
      </c>
      <c r="J21" s="297" t="s">
        <v>470</v>
      </c>
    </row>
    <row r="22" spans="1:10" x14ac:dyDescent="0.25">
      <c r="B22" s="150"/>
      <c r="C22" s="14"/>
      <c r="D22" s="277"/>
      <c r="E22" s="11"/>
      <c r="F22" s="295">
        <v>45721</v>
      </c>
      <c r="G22" s="2"/>
      <c r="H22" s="2">
        <v>10000</v>
      </c>
      <c r="I22" s="2"/>
      <c r="J22" s="8"/>
    </row>
    <row r="23" spans="1:10" x14ac:dyDescent="0.25">
      <c r="A23" t="s">
        <v>388</v>
      </c>
      <c r="B23" s="150"/>
      <c r="C23" s="14"/>
      <c r="D23" s="277"/>
      <c r="E23" s="11"/>
      <c r="F23" s="295">
        <v>45729</v>
      </c>
      <c r="G23" s="2"/>
      <c r="H23" s="2">
        <v>60000</v>
      </c>
      <c r="I23" s="2"/>
      <c r="J23" s="8"/>
    </row>
    <row r="24" spans="1:10" x14ac:dyDescent="0.25">
      <c r="A24" t="s">
        <v>210</v>
      </c>
      <c r="B24" s="150">
        <v>150000</v>
      </c>
      <c r="C24" s="150"/>
      <c r="D24" s="150"/>
      <c r="E24" s="11"/>
      <c r="F24" s="295">
        <v>45776</v>
      </c>
      <c r="G24" s="2">
        <v>35000</v>
      </c>
      <c r="H24" s="2"/>
      <c r="I24" s="2"/>
      <c r="J24" s="8"/>
    </row>
    <row r="25" spans="1:10" x14ac:dyDescent="0.25">
      <c r="A25" t="s">
        <v>197</v>
      </c>
      <c r="B25" s="150">
        <f>B21+B24</f>
        <v>1145000</v>
      </c>
      <c r="C25" s="150"/>
      <c r="D25" s="150"/>
      <c r="E25" s="11"/>
      <c r="F25" s="295">
        <v>45777</v>
      </c>
      <c r="G25" s="2">
        <v>35000</v>
      </c>
      <c r="H25" s="2"/>
      <c r="I25" s="2"/>
      <c r="J25" s="8"/>
    </row>
    <row r="26" spans="1:10" x14ac:dyDescent="0.25">
      <c r="B26" s="7"/>
      <c r="C26" s="7"/>
      <c r="D26" s="7"/>
      <c r="F26" s="295">
        <v>45982</v>
      </c>
      <c r="G26" s="2">
        <v>25000</v>
      </c>
      <c r="H26" s="2"/>
      <c r="I26" s="2"/>
      <c r="J26" s="8"/>
    </row>
    <row r="27" spans="1:10" x14ac:dyDescent="0.25">
      <c r="A27" t="s">
        <v>423</v>
      </c>
      <c r="F27" s="295">
        <v>46003</v>
      </c>
      <c r="G27" s="2">
        <v>95000</v>
      </c>
      <c r="H27" s="2"/>
      <c r="I27" s="2"/>
      <c r="J27" s="8"/>
    </row>
    <row r="28" spans="1:10" x14ac:dyDescent="0.25">
      <c r="A28" t="s">
        <v>476</v>
      </c>
      <c r="B28">
        <v>15000</v>
      </c>
      <c r="F28" s="295">
        <v>46006</v>
      </c>
      <c r="G28" s="2">
        <v>95000</v>
      </c>
      <c r="H28" s="2"/>
      <c r="I28" s="2"/>
      <c r="J28" s="8"/>
    </row>
    <row r="29" spans="1:10" x14ac:dyDescent="0.25">
      <c r="A29" t="s">
        <v>424</v>
      </c>
      <c r="B29" s="7">
        <f>B3*30%</f>
        <v>828000</v>
      </c>
      <c r="F29" s="295">
        <v>46007</v>
      </c>
      <c r="G29" s="2">
        <v>55000</v>
      </c>
      <c r="H29" s="2"/>
      <c r="I29" s="2"/>
      <c r="J29" s="8"/>
    </row>
    <row r="30" spans="1:10" x14ac:dyDescent="0.25">
      <c r="A30" t="s">
        <v>240</v>
      </c>
      <c r="B30" s="7">
        <f>B4</f>
        <v>165600</v>
      </c>
      <c r="F30" s="295">
        <v>46008</v>
      </c>
      <c r="G30" s="2">
        <v>50000</v>
      </c>
      <c r="H30" s="2"/>
      <c r="I30" s="2"/>
      <c r="J30" s="8"/>
    </row>
    <row r="31" spans="1:10" x14ac:dyDescent="0.25">
      <c r="A31" t="s">
        <v>51</v>
      </c>
      <c r="B31" s="7">
        <f>B6</f>
        <v>40000</v>
      </c>
      <c r="F31" s="295">
        <v>46016</v>
      </c>
      <c r="G31" s="2"/>
      <c r="H31" s="2">
        <v>40000</v>
      </c>
      <c r="I31" s="2"/>
      <c r="J31" s="8"/>
    </row>
    <row r="32" spans="1:10" x14ac:dyDescent="0.25">
      <c r="A32" t="s">
        <v>282</v>
      </c>
      <c r="B32" s="7">
        <f>B7</f>
        <v>22251.999999999996</v>
      </c>
      <c r="F32" s="295">
        <v>46018</v>
      </c>
      <c r="G32" s="2"/>
      <c r="H32" s="2">
        <v>40000</v>
      </c>
      <c r="I32" s="2">
        <v>3000</v>
      </c>
      <c r="J32" s="8"/>
    </row>
    <row r="33" spans="1:11" x14ac:dyDescent="0.25">
      <c r="A33" t="s">
        <v>93</v>
      </c>
      <c r="B33" s="7">
        <f>B5</f>
        <v>15000</v>
      </c>
      <c r="F33" s="295">
        <v>46019</v>
      </c>
      <c r="G33" s="2"/>
      <c r="H33" s="2">
        <v>50000</v>
      </c>
      <c r="I33" s="2"/>
      <c r="J33" s="8"/>
    </row>
    <row r="34" spans="1:11" x14ac:dyDescent="0.25">
      <c r="B34" s="7">
        <f>SUM(B28:B33)</f>
        <v>1085852</v>
      </c>
      <c r="F34" s="295">
        <v>46020</v>
      </c>
      <c r="G34" s="2"/>
      <c r="H34" s="2"/>
      <c r="I34" s="2">
        <f>47000+50000+50000</f>
        <v>147000</v>
      </c>
      <c r="J34" s="2">
        <v>100000</v>
      </c>
    </row>
    <row r="35" spans="1:11" ht="20.25" customHeight="1" x14ac:dyDescent="0.25">
      <c r="A35" s="292" t="s">
        <v>477</v>
      </c>
      <c r="B35" s="293">
        <f>B25-B34</f>
        <v>59148</v>
      </c>
      <c r="F35" s="295">
        <v>46021</v>
      </c>
      <c r="G35" s="2"/>
      <c r="H35" s="2"/>
      <c r="I35" s="2">
        <v>50000</v>
      </c>
      <c r="J35" s="8">
        <v>50000</v>
      </c>
    </row>
    <row r="36" spans="1:11" x14ac:dyDescent="0.25">
      <c r="F36" s="295">
        <v>45662</v>
      </c>
      <c r="G36" s="2">
        <v>97000</v>
      </c>
      <c r="H36" s="2"/>
      <c r="I36" s="2"/>
      <c r="J36" s="8"/>
    </row>
    <row r="37" spans="1:11" x14ac:dyDescent="0.25">
      <c r="F37" s="295">
        <v>45663</v>
      </c>
      <c r="G37" s="2">
        <v>100000</v>
      </c>
      <c r="H37" s="2"/>
      <c r="I37" s="2"/>
      <c r="J37" s="8"/>
    </row>
    <row r="38" spans="1:11" x14ac:dyDescent="0.25">
      <c r="F38" s="295">
        <v>45695</v>
      </c>
      <c r="G38" s="2"/>
      <c r="H38" s="2"/>
      <c r="I38" s="2"/>
      <c r="J38" s="8"/>
    </row>
    <row r="39" spans="1:11" x14ac:dyDescent="0.25">
      <c r="F39" s="8" t="s">
        <v>475</v>
      </c>
      <c r="G39" s="2">
        <f>SUM(G22:G37)</f>
        <v>587000</v>
      </c>
      <c r="H39" s="2">
        <f>SUM(H22:H37)</f>
        <v>200000</v>
      </c>
      <c r="I39" s="2">
        <f>SUM(I22:I37)</f>
        <v>200000</v>
      </c>
      <c r="J39" s="2">
        <f>SUM(J22:J37)</f>
        <v>150000</v>
      </c>
      <c r="K39" s="4">
        <f>SUM(G39:J39)</f>
        <v>1137000</v>
      </c>
    </row>
    <row r="40" spans="1:11" x14ac:dyDescent="0.25">
      <c r="F40" s="8" t="s">
        <v>427</v>
      </c>
      <c r="G40" s="2">
        <v>600000</v>
      </c>
      <c r="H40" s="2">
        <v>200000</v>
      </c>
      <c r="I40" s="2">
        <v>200000</v>
      </c>
      <c r="J40" s="322">
        <v>150000</v>
      </c>
      <c r="K40" s="4">
        <f t="shared" ref="K40:K41" si="0">SUM(G40:J40)</f>
        <v>1150000</v>
      </c>
    </row>
    <row r="41" spans="1:11" x14ac:dyDescent="0.25">
      <c r="F41" s="8" t="s">
        <v>474</v>
      </c>
      <c r="G41" s="2">
        <f>G40-G39</f>
        <v>13000</v>
      </c>
      <c r="H41" s="2">
        <f t="shared" ref="H41:I41" si="1">H40-H39</f>
        <v>0</v>
      </c>
      <c r="I41" s="2">
        <f t="shared" si="1"/>
        <v>0</v>
      </c>
      <c r="J41" s="2">
        <f>J40-J39</f>
        <v>0</v>
      </c>
      <c r="K41" s="4">
        <f t="shared" si="0"/>
        <v>13000</v>
      </c>
    </row>
    <row r="43" spans="1:11" x14ac:dyDescent="0.25">
      <c r="F43" t="s">
        <v>471</v>
      </c>
      <c r="G43" s="4">
        <f>G39+H39+I39+J39</f>
        <v>1137000</v>
      </c>
    </row>
    <row r="44" spans="1:11" x14ac:dyDescent="0.25">
      <c r="F44" t="s">
        <v>472</v>
      </c>
      <c r="G44" s="4">
        <f>SUM(G41:J41)</f>
        <v>13000</v>
      </c>
    </row>
    <row r="45" spans="1:11" x14ac:dyDescent="0.25">
      <c r="F45" t="s">
        <v>473</v>
      </c>
      <c r="G45" s="4">
        <f>SUM(G43:G44)</f>
        <v>1150000</v>
      </c>
    </row>
  </sheetData>
  <conditionalFormatting sqref="G41:J41">
    <cfRule type="cellIs" dxfId="5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B7CC-1D7D-4E08-B424-3C3472F64465}">
  <dimension ref="A1:Q57"/>
  <sheetViews>
    <sheetView topLeftCell="A7" workbookViewId="0">
      <selection activeCell="C8" sqref="C8"/>
    </sheetView>
  </sheetViews>
  <sheetFormatPr defaultColWidth="7.42578125" defaultRowHeight="15" x14ac:dyDescent="0.25"/>
  <cols>
    <col min="1" max="1" width="24.42578125" customWidth="1"/>
    <col min="2" max="2" width="12.28515625" customWidth="1"/>
    <col min="3" max="3" width="11.140625" customWidth="1"/>
    <col min="4" max="5" width="11" customWidth="1"/>
    <col min="6" max="6" width="12.28515625" customWidth="1"/>
    <col min="7" max="7" width="11.140625" customWidth="1"/>
    <col min="8" max="8" width="11.28515625" customWidth="1"/>
    <col min="9" max="9" width="10.7109375" customWidth="1"/>
    <col min="10" max="10" width="9.85546875" customWidth="1"/>
    <col min="11" max="11" width="11.140625" customWidth="1"/>
    <col min="12" max="12" width="10.42578125" customWidth="1"/>
    <col min="13" max="13" width="9.85546875" customWidth="1"/>
    <col min="14" max="14" width="12.7109375" style="310" customWidth="1"/>
    <col min="15" max="15" width="11.5703125" customWidth="1"/>
    <col min="18" max="18" width="11" customWidth="1"/>
  </cols>
  <sheetData>
    <row r="1" spans="1:14" x14ac:dyDescent="0.25">
      <c r="A1" s="298" t="s">
        <v>428</v>
      </c>
      <c r="B1" s="299" t="s">
        <v>429</v>
      </c>
      <c r="C1" s="299" t="s">
        <v>430</v>
      </c>
      <c r="D1" s="299" t="s">
        <v>431</v>
      </c>
      <c r="E1" s="299" t="s">
        <v>432</v>
      </c>
      <c r="F1" s="299" t="s">
        <v>206</v>
      </c>
      <c r="G1" s="299" t="s">
        <v>433</v>
      </c>
      <c r="H1" s="299" t="s">
        <v>434</v>
      </c>
      <c r="I1" s="299" t="s">
        <v>435</v>
      </c>
      <c r="J1" s="299" t="s">
        <v>436</v>
      </c>
      <c r="K1" s="299" t="s">
        <v>437</v>
      </c>
      <c r="L1" s="299" t="s">
        <v>438</v>
      </c>
      <c r="M1" s="299" t="s">
        <v>439</v>
      </c>
      <c r="N1" s="300" t="s">
        <v>440</v>
      </c>
    </row>
    <row r="2" spans="1:14" x14ac:dyDescent="0.25">
      <c r="A2" s="301" t="s">
        <v>441</v>
      </c>
      <c r="B2" s="302">
        <v>1</v>
      </c>
      <c r="C2" s="302">
        <v>2</v>
      </c>
      <c r="D2" s="302">
        <v>3</v>
      </c>
      <c r="E2" s="302">
        <v>4</v>
      </c>
      <c r="F2" s="302">
        <v>5</v>
      </c>
      <c r="G2" s="302">
        <v>6</v>
      </c>
      <c r="H2" s="302">
        <v>7</v>
      </c>
      <c r="I2" s="302">
        <v>8</v>
      </c>
      <c r="J2" s="302">
        <v>9</v>
      </c>
      <c r="K2" s="302">
        <v>10</v>
      </c>
      <c r="L2" s="302">
        <v>11</v>
      </c>
      <c r="M2" s="302">
        <v>12</v>
      </c>
      <c r="N2" s="303"/>
    </row>
    <row r="3" spans="1:14" x14ac:dyDescent="0.25">
      <c r="A3" s="304" t="s">
        <v>442</v>
      </c>
      <c r="B3" s="305">
        <f>'[1]Cashflow Summary'!$O$68</f>
        <v>22229.31</v>
      </c>
      <c r="C3" s="306">
        <f>B41</f>
        <v>34922.720000000147</v>
      </c>
      <c r="D3" s="306">
        <f t="shared" ref="D3:M3" si="0">C41</f>
        <v>62971.52000000015</v>
      </c>
      <c r="E3" s="306">
        <f t="shared" si="0"/>
        <v>48601.320000000196</v>
      </c>
      <c r="F3" s="306">
        <f t="shared" si="0"/>
        <v>50245.911666666863</v>
      </c>
      <c r="G3" s="306">
        <f t="shared" si="0"/>
        <v>47890.50333333353</v>
      </c>
      <c r="H3" s="306">
        <f t="shared" si="0"/>
        <v>1357815.0950000002</v>
      </c>
      <c r="I3" s="306">
        <f t="shared" si="0"/>
        <v>1357780.0950000002</v>
      </c>
      <c r="J3" s="306">
        <f t="shared" si="0"/>
        <v>1357745.0950000002</v>
      </c>
      <c r="K3" s="306">
        <f t="shared" si="0"/>
        <v>1357710.0950000002</v>
      </c>
      <c r="L3" s="306">
        <f t="shared" si="0"/>
        <v>1357675.0950000002</v>
      </c>
      <c r="M3" s="306">
        <f t="shared" si="0"/>
        <v>1357290.0950000002</v>
      </c>
      <c r="N3" s="307"/>
    </row>
    <row r="4" spans="1:14" x14ac:dyDescent="0.25">
      <c r="A4" s="8" t="s">
        <v>443</v>
      </c>
      <c r="B4" s="10">
        <f>600000-70000-25000+200000</f>
        <v>705000</v>
      </c>
      <c r="C4" s="10"/>
      <c r="D4" s="10"/>
      <c r="E4" s="10"/>
      <c r="F4" s="10"/>
      <c r="G4" s="10"/>
      <c r="H4" s="10"/>
      <c r="I4" s="10"/>
      <c r="J4" s="10"/>
      <c r="K4" s="10"/>
      <c r="L4" s="308"/>
      <c r="M4" s="10"/>
      <c r="N4" s="10">
        <f>SUM(B4:M4)</f>
        <v>705000</v>
      </c>
    </row>
    <row r="5" spans="1:14" x14ac:dyDescent="0.25">
      <c r="A5" s="309" t="s">
        <v>444</v>
      </c>
      <c r="B5" s="308">
        <f>195000-70000</f>
        <v>125000</v>
      </c>
      <c r="C5" s="310"/>
      <c r="D5" s="308"/>
      <c r="E5" s="308"/>
      <c r="F5" s="308"/>
      <c r="G5" s="308"/>
      <c r="H5" s="310"/>
      <c r="I5" s="308"/>
      <c r="J5" s="308"/>
      <c r="K5" s="308"/>
      <c r="L5" s="308"/>
      <c r="M5" s="308"/>
      <c r="N5" s="10">
        <f>SUM(B5:M5)</f>
        <v>125000</v>
      </c>
    </row>
    <row r="6" spans="1:14" x14ac:dyDescent="0.25">
      <c r="A6" s="309"/>
      <c r="B6" s="308"/>
      <c r="C6" s="308"/>
      <c r="D6" s="308"/>
      <c r="E6" s="308"/>
      <c r="F6" s="308"/>
      <c r="G6" s="310"/>
      <c r="H6" s="308"/>
      <c r="I6" s="308"/>
      <c r="J6" s="308"/>
      <c r="K6" s="308"/>
      <c r="L6" s="308"/>
      <c r="M6" s="308"/>
      <c r="N6" s="10">
        <f t="shared" ref="N6:N12" si="1">SUM(B6:M6)</f>
        <v>0</v>
      </c>
    </row>
    <row r="7" spans="1:14" x14ac:dyDescent="0.25">
      <c r="A7" s="309" t="s">
        <v>445</v>
      </c>
      <c r="B7" s="308">
        <v>150000</v>
      </c>
      <c r="C7" s="308">
        <v>-50000</v>
      </c>
      <c r="D7" s="308"/>
      <c r="E7" s="308"/>
      <c r="F7" s="308"/>
      <c r="G7" s="308"/>
      <c r="H7" s="308"/>
      <c r="I7" s="308"/>
      <c r="J7" s="308"/>
      <c r="K7" s="308"/>
      <c r="L7" s="308"/>
      <c r="M7" s="308"/>
      <c r="N7" s="10">
        <f t="shared" si="1"/>
        <v>100000</v>
      </c>
    </row>
    <row r="8" spans="1:14" x14ac:dyDescent="0.25">
      <c r="A8" s="311" t="s">
        <v>446</v>
      </c>
      <c r="B8" s="308">
        <f>2760000*70%</f>
        <v>1931999.9999999998</v>
      </c>
      <c r="C8" s="308"/>
      <c r="D8" s="308"/>
      <c r="E8" s="308"/>
      <c r="F8" s="310"/>
      <c r="G8" s="308"/>
      <c r="H8" s="308"/>
      <c r="I8" s="308"/>
      <c r="J8" s="308"/>
      <c r="K8" s="308"/>
      <c r="L8" s="310"/>
      <c r="M8" s="308"/>
      <c r="N8" s="10"/>
    </row>
    <row r="9" spans="1:14" x14ac:dyDescent="0.25">
      <c r="A9" s="311" t="s">
        <v>469</v>
      </c>
      <c r="B9" s="310"/>
      <c r="C9" s="308"/>
      <c r="D9" s="308"/>
      <c r="E9" s="308"/>
      <c r="F9" s="310"/>
      <c r="G9" s="308"/>
      <c r="H9" s="308"/>
      <c r="I9" s="308"/>
      <c r="J9" s="308"/>
      <c r="K9" s="308"/>
      <c r="L9" s="310"/>
      <c r="M9" s="308"/>
      <c r="N9" s="10">
        <f t="shared" si="1"/>
        <v>0</v>
      </c>
    </row>
    <row r="10" spans="1:14" x14ac:dyDescent="0.25">
      <c r="A10" s="309" t="s">
        <v>447</v>
      </c>
      <c r="B10" s="308"/>
      <c r="C10" s="308">
        <f>1765000*10%</f>
        <v>176500</v>
      </c>
      <c r="D10" s="310"/>
      <c r="E10" s="308"/>
      <c r="F10" s="310"/>
      <c r="G10" s="310"/>
      <c r="H10" s="308"/>
      <c r="I10" s="308"/>
      <c r="J10" s="308"/>
      <c r="K10" s="308"/>
      <c r="L10" s="310"/>
      <c r="M10" s="308"/>
      <c r="N10" s="10"/>
    </row>
    <row r="11" spans="1:14" x14ac:dyDescent="0.25">
      <c r="A11" s="311" t="s">
        <v>448</v>
      </c>
      <c r="B11" s="308"/>
      <c r="C11" s="308"/>
      <c r="D11" s="310">
        <f>1765000-C10</f>
        <v>1588500</v>
      </c>
      <c r="E11" s="308"/>
      <c r="F11" s="310"/>
      <c r="G11" s="312">
        <v>1800000</v>
      </c>
      <c r="H11" s="308"/>
      <c r="I11" s="308"/>
      <c r="J11" s="308"/>
      <c r="K11" s="308"/>
      <c r="L11" s="310"/>
      <c r="M11" s="308"/>
      <c r="N11" s="10"/>
    </row>
    <row r="12" spans="1:14" x14ac:dyDescent="0.25">
      <c r="B12" s="308"/>
      <c r="C12" s="308"/>
      <c r="D12" s="310"/>
      <c r="E12" s="308"/>
      <c r="F12" s="308"/>
      <c r="G12" s="310"/>
      <c r="H12" s="308"/>
      <c r="I12" s="308"/>
      <c r="J12" s="308"/>
      <c r="K12" s="308"/>
      <c r="L12" s="308"/>
      <c r="M12" s="308"/>
      <c r="N12" s="10">
        <f t="shared" si="1"/>
        <v>0</v>
      </c>
    </row>
    <row r="13" spans="1:14" ht="16.149999999999999" customHeight="1" x14ac:dyDescent="0.25">
      <c r="A13" s="313" t="s">
        <v>188</v>
      </c>
      <c r="B13" s="314">
        <f>SUM(B4:B12)</f>
        <v>2912000</v>
      </c>
      <c r="C13" s="314">
        <f t="shared" ref="C13:N13" si="2">SUM(C4:C12)</f>
        <v>126500</v>
      </c>
      <c r="D13" s="314">
        <f t="shared" si="2"/>
        <v>1588500</v>
      </c>
      <c r="E13" s="314">
        <f>SUM(E4:E12)</f>
        <v>0</v>
      </c>
      <c r="F13" s="314">
        <f t="shared" si="2"/>
        <v>0</v>
      </c>
      <c r="G13" s="314">
        <f t="shared" si="2"/>
        <v>1800000</v>
      </c>
      <c r="H13" s="314">
        <f t="shared" si="2"/>
        <v>0</v>
      </c>
      <c r="I13" s="314">
        <f t="shared" si="2"/>
        <v>0</v>
      </c>
      <c r="J13" s="314">
        <f t="shared" si="2"/>
        <v>0</v>
      </c>
      <c r="K13" s="314">
        <f t="shared" si="2"/>
        <v>0</v>
      </c>
      <c r="L13" s="314">
        <f t="shared" si="2"/>
        <v>0</v>
      </c>
      <c r="M13" s="314">
        <f t="shared" si="2"/>
        <v>0</v>
      </c>
      <c r="N13" s="314">
        <f t="shared" si="2"/>
        <v>930000</v>
      </c>
    </row>
    <row r="14" spans="1:14" x14ac:dyDescent="0.25">
      <c r="A14" s="309" t="s">
        <v>449</v>
      </c>
      <c r="B14" s="310"/>
      <c r="C14" s="310"/>
      <c r="D14" s="310">
        <f>D11-D38+D7-10000</f>
        <v>1478500</v>
      </c>
      <c r="E14" s="310"/>
      <c r="F14" s="310"/>
      <c r="G14" s="312">
        <f>F44</f>
        <v>453499.99999999977</v>
      </c>
      <c r="H14" s="310"/>
      <c r="I14" s="310"/>
      <c r="J14" s="310"/>
      <c r="K14" s="310"/>
      <c r="L14" s="310"/>
      <c r="M14" s="310"/>
      <c r="N14" s="315">
        <f t="shared" ref="N14:N21" si="3">SUM(B14:M14)</f>
        <v>1931999.9999999998</v>
      </c>
    </row>
    <row r="15" spans="1:14" x14ac:dyDescent="0.25">
      <c r="A15" s="309" t="s">
        <v>501</v>
      </c>
      <c r="B15" s="310">
        <f>$B$8*6.18%/12</f>
        <v>9949.7999999999975</v>
      </c>
      <c r="C15" s="310">
        <f>$B$8*6.18%/12</f>
        <v>9949.7999999999975</v>
      </c>
      <c r="D15" s="310">
        <f>$B$8*6.18%/12</f>
        <v>9949.7999999999975</v>
      </c>
      <c r="E15" s="310"/>
      <c r="F15" s="310"/>
      <c r="G15" s="312"/>
      <c r="H15" s="310"/>
      <c r="I15" s="310"/>
      <c r="J15" s="310"/>
      <c r="K15" s="310"/>
      <c r="L15" s="310"/>
      <c r="M15" s="310"/>
      <c r="N15" s="315"/>
    </row>
    <row r="16" spans="1:14" x14ac:dyDescent="0.25">
      <c r="A16" s="309" t="s">
        <v>450</v>
      </c>
      <c r="B16" s="308">
        <v>2660000</v>
      </c>
      <c r="C16" s="316"/>
      <c r="D16" s="315"/>
      <c r="E16" s="308"/>
      <c r="F16" s="315"/>
      <c r="G16" s="316"/>
      <c r="H16" s="315"/>
      <c r="I16" s="315"/>
      <c r="J16" s="315"/>
      <c r="K16" s="315"/>
      <c r="L16" s="315"/>
      <c r="M16" s="315"/>
      <c r="N16" s="315">
        <f t="shared" si="3"/>
        <v>2660000</v>
      </c>
    </row>
    <row r="17" spans="1:17" x14ac:dyDescent="0.25">
      <c r="A17" s="309" t="s">
        <v>500</v>
      </c>
      <c r="B17" s="308">
        <f>159400+5743.09</f>
        <v>165143.09</v>
      </c>
      <c r="C17" s="316"/>
      <c r="D17" s="315"/>
      <c r="E17" s="308"/>
      <c r="F17" s="315"/>
      <c r="G17" s="316"/>
      <c r="H17" s="315"/>
      <c r="I17" s="315"/>
      <c r="J17" s="315"/>
      <c r="K17" s="315"/>
      <c r="L17" s="315"/>
      <c r="M17" s="315"/>
      <c r="N17" s="315">
        <f t="shared" si="3"/>
        <v>165143.09</v>
      </c>
      <c r="Q17">
        <f>150000*15%/12</f>
        <v>1875</v>
      </c>
    </row>
    <row r="18" spans="1:17" x14ac:dyDescent="0.25">
      <c r="A18" s="309" t="s">
        <v>498</v>
      </c>
      <c r="B18" s="308">
        <f>4780</f>
        <v>4780</v>
      </c>
      <c r="C18" s="316"/>
      <c r="D18" s="315">
        <v>2500</v>
      </c>
      <c r="E18" s="308"/>
      <c r="F18" s="315"/>
      <c r="G18" s="316">
        <v>3500</v>
      </c>
      <c r="H18" s="315"/>
      <c r="I18" s="315"/>
      <c r="J18" s="315"/>
      <c r="K18" s="315"/>
      <c r="L18" s="315"/>
      <c r="M18" s="315"/>
      <c r="N18" s="315">
        <f t="shared" si="3"/>
        <v>10780</v>
      </c>
    </row>
    <row r="19" spans="1:17" x14ac:dyDescent="0.25">
      <c r="A19" s="309" t="s">
        <v>499</v>
      </c>
      <c r="B19" s="308">
        <f>3736.7+200</f>
        <v>3936.7</v>
      </c>
      <c r="C19" s="316"/>
      <c r="D19" s="315"/>
      <c r="E19" s="308"/>
      <c r="F19" s="315"/>
      <c r="G19" s="316"/>
      <c r="H19" s="315"/>
      <c r="I19" s="315"/>
      <c r="J19" s="315"/>
      <c r="K19" s="315"/>
      <c r="L19" s="315"/>
      <c r="M19" s="315"/>
      <c r="N19" s="315"/>
    </row>
    <row r="20" spans="1:17" x14ac:dyDescent="0.25">
      <c r="A20" s="309" t="s">
        <v>451</v>
      </c>
      <c r="B20" s="308">
        <f>+B8*0.6%</f>
        <v>11591.999999999998</v>
      </c>
      <c r="C20" s="316"/>
      <c r="D20" s="315"/>
      <c r="E20" s="315"/>
      <c r="F20" s="315"/>
      <c r="G20" s="315"/>
      <c r="H20" s="315"/>
      <c r="I20" s="315"/>
      <c r="J20" s="315"/>
      <c r="K20" s="315"/>
      <c r="L20" s="315"/>
      <c r="M20" s="315"/>
      <c r="N20" s="315">
        <f t="shared" si="3"/>
        <v>11591.999999999998</v>
      </c>
    </row>
    <row r="21" spans="1:17" x14ac:dyDescent="0.25">
      <c r="A21" s="309" t="s">
        <v>452</v>
      </c>
      <c r="B21" s="308">
        <v>11500</v>
      </c>
      <c r="C21" s="316"/>
      <c r="D21" s="315"/>
      <c r="E21" s="315"/>
      <c r="F21" s="315"/>
      <c r="G21" s="315"/>
      <c r="H21" s="315"/>
      <c r="I21" s="315"/>
      <c r="J21" s="315"/>
      <c r="K21" s="315"/>
      <c r="L21" s="315"/>
      <c r="M21" s="315"/>
      <c r="N21" s="315">
        <f t="shared" si="3"/>
        <v>11500</v>
      </c>
    </row>
    <row r="22" spans="1:17" x14ac:dyDescent="0.25">
      <c r="A22" s="309" t="s">
        <v>56</v>
      </c>
      <c r="B22" s="310">
        <v>6600</v>
      </c>
      <c r="C22" s="308">
        <f>33000-B22</f>
        <v>26400</v>
      </c>
      <c r="D22" s="315"/>
      <c r="E22" s="315"/>
      <c r="F22" s="315"/>
      <c r="G22" s="315"/>
      <c r="H22" s="315"/>
      <c r="I22" s="315"/>
      <c r="J22" s="315"/>
      <c r="K22" s="315"/>
      <c r="L22" s="315"/>
      <c r="M22" s="315"/>
      <c r="N22" s="315">
        <f>SUM(C22:M22)</f>
        <v>26400</v>
      </c>
    </row>
    <row r="23" spans="1:17" x14ac:dyDescent="0.25">
      <c r="A23" s="317" t="s">
        <v>453</v>
      </c>
      <c r="B23" s="308">
        <v>13000</v>
      </c>
      <c r="C23" s="310"/>
      <c r="D23" s="318"/>
      <c r="E23" s="315"/>
      <c r="F23" s="315"/>
      <c r="G23" s="315"/>
      <c r="H23" s="315"/>
      <c r="I23" s="315"/>
      <c r="J23" s="315"/>
      <c r="K23" s="315"/>
      <c r="L23" s="315"/>
      <c r="M23" s="315"/>
      <c r="N23" s="315">
        <f>SUM(B23:M23)</f>
        <v>13000</v>
      </c>
    </row>
    <row r="24" spans="1:17" x14ac:dyDescent="0.25">
      <c r="A24" s="317" t="s">
        <v>454</v>
      </c>
      <c r="B24" s="310"/>
      <c r="C24" s="308">
        <v>25000</v>
      </c>
      <c r="D24" s="310"/>
      <c r="E24" s="310"/>
      <c r="F24" s="310"/>
      <c r="G24" s="310"/>
      <c r="H24" s="310"/>
      <c r="I24" s="310"/>
      <c r="J24" s="310"/>
      <c r="K24" s="310"/>
      <c r="L24" s="310"/>
      <c r="M24" s="315"/>
      <c r="N24" s="315">
        <f>SUM(C24:M24)</f>
        <v>25000</v>
      </c>
    </row>
    <row r="25" spans="1:17" x14ac:dyDescent="0.25">
      <c r="A25" s="8" t="s">
        <v>455</v>
      </c>
      <c r="B25" s="316">
        <f>350+800</f>
        <v>1150</v>
      </c>
      <c r="C25" s="316"/>
      <c r="D25" s="315"/>
      <c r="E25" s="315"/>
      <c r="F25" s="315"/>
      <c r="G25" s="315"/>
      <c r="H25" s="315"/>
      <c r="I25" s="315"/>
      <c r="J25" s="315"/>
      <c r="K25" s="315"/>
      <c r="L25" s="315"/>
      <c r="M25" s="315"/>
      <c r="N25" s="315"/>
    </row>
    <row r="26" spans="1:17" x14ac:dyDescent="0.25">
      <c r="A26" s="309" t="s">
        <v>456</v>
      </c>
      <c r="B26" s="316">
        <f>242*10</f>
        <v>2420</v>
      </c>
      <c r="C26" s="316"/>
      <c r="D26" s="315"/>
      <c r="E26" s="315"/>
      <c r="F26" s="315"/>
      <c r="G26" s="315"/>
      <c r="H26" s="315"/>
      <c r="I26" s="315"/>
      <c r="J26" s="315"/>
      <c r="K26" s="315"/>
      <c r="L26" s="315"/>
      <c r="M26" s="315"/>
      <c r="N26" s="315">
        <f>SUM(B26:M26)</f>
        <v>2420</v>
      </c>
    </row>
    <row r="27" spans="1:17" x14ac:dyDescent="0.25">
      <c r="A27" s="311" t="s">
        <v>457</v>
      </c>
      <c r="B27" s="310">
        <v>3000</v>
      </c>
      <c r="C27" s="310"/>
      <c r="D27" s="310"/>
      <c r="E27" s="310"/>
      <c r="F27" s="310"/>
      <c r="G27" s="310"/>
      <c r="H27" s="310"/>
      <c r="I27" s="310"/>
      <c r="J27" s="310"/>
      <c r="K27" s="310"/>
      <c r="L27" s="310"/>
      <c r="M27" s="310"/>
    </row>
    <row r="28" spans="1:17" x14ac:dyDescent="0.25">
      <c r="A28" s="319" t="s">
        <v>458</v>
      </c>
      <c r="B28" s="310">
        <v>250</v>
      </c>
      <c r="C28" s="310"/>
      <c r="D28" s="310"/>
      <c r="E28" s="310"/>
      <c r="F28" s="310"/>
      <c r="G28" s="310"/>
      <c r="H28" s="310"/>
      <c r="I28" s="310"/>
      <c r="J28" s="310"/>
      <c r="K28" s="310"/>
      <c r="L28" s="310"/>
      <c r="M28" s="310"/>
    </row>
    <row r="29" spans="1:17" x14ac:dyDescent="0.25">
      <c r="A29" s="319" t="s">
        <v>459</v>
      </c>
      <c r="B29" s="310">
        <v>750</v>
      </c>
      <c r="C29" s="310"/>
      <c r="D29" s="310"/>
      <c r="E29" s="310"/>
      <c r="F29" s="310"/>
      <c r="G29" s="310"/>
      <c r="H29" s="310"/>
      <c r="I29" s="310"/>
      <c r="J29" s="310"/>
      <c r="K29" s="310"/>
      <c r="L29" s="310"/>
      <c r="M29" s="310"/>
    </row>
    <row r="30" spans="1:17" x14ac:dyDescent="0.25">
      <c r="A30" s="22" t="s">
        <v>82</v>
      </c>
      <c r="B30" s="310"/>
      <c r="C30" s="310">
        <f>(B44*6.14%)/12</f>
        <v>9885.3999999999978</v>
      </c>
      <c r="D30" s="310">
        <f>(C44*6.14%)/12</f>
        <v>9885.3999999999978</v>
      </c>
      <c r="E30" s="310">
        <f>(D44*6.14%)/12</f>
        <v>2320.4083333333319</v>
      </c>
      <c r="F30" s="310">
        <f t="shared" ref="F30:M30" si="4">(E44*6.14%)/12</f>
        <v>2320.4083333333319</v>
      </c>
      <c r="G30" s="310">
        <f t="shared" si="4"/>
        <v>2320.4083333333319</v>
      </c>
      <c r="H30" s="310">
        <f t="shared" si="4"/>
        <v>0</v>
      </c>
      <c r="I30" s="310">
        <f t="shared" si="4"/>
        <v>0</v>
      </c>
      <c r="J30" s="310">
        <f t="shared" si="4"/>
        <v>0</v>
      </c>
      <c r="K30" s="310">
        <f t="shared" si="4"/>
        <v>0</v>
      </c>
      <c r="L30" s="310">
        <f t="shared" si="4"/>
        <v>0</v>
      </c>
      <c r="M30" s="310">
        <f t="shared" si="4"/>
        <v>0</v>
      </c>
      <c r="N30" s="315">
        <f t="shared" ref="N30" si="5">SUM(B30:M30)</f>
        <v>26732.024999999994</v>
      </c>
    </row>
    <row r="31" spans="1:17" x14ac:dyDescent="0.25">
      <c r="A31" s="22" t="s">
        <v>24</v>
      </c>
      <c r="B31" s="310"/>
      <c r="C31" s="310"/>
      <c r="D31" s="310"/>
      <c r="E31" s="310"/>
      <c r="F31" s="310"/>
      <c r="G31" s="310">
        <v>3000</v>
      </c>
      <c r="H31" s="310"/>
      <c r="I31" s="310"/>
      <c r="J31" s="310"/>
      <c r="K31" s="310"/>
      <c r="L31" s="310"/>
      <c r="M31" s="310"/>
      <c r="N31" s="315">
        <f>SUM(C31:M31)</f>
        <v>3000</v>
      </c>
    </row>
    <row r="32" spans="1:17" x14ac:dyDescent="0.25">
      <c r="A32" s="22" t="s">
        <v>25</v>
      </c>
      <c r="B32" s="316">
        <v>5200</v>
      </c>
      <c r="C32" s="308"/>
      <c r="D32" s="308"/>
      <c r="E32" s="308">
        <v>-4000</v>
      </c>
      <c r="F32" s="308"/>
      <c r="G32" s="308"/>
      <c r="H32" s="308"/>
      <c r="I32" s="308"/>
      <c r="J32" s="308"/>
      <c r="K32" s="308"/>
      <c r="L32" s="308"/>
      <c r="M32" s="308"/>
      <c r="N32" s="315"/>
    </row>
    <row r="33" spans="1:14" x14ac:dyDescent="0.25">
      <c r="A33" s="22" t="s">
        <v>460</v>
      </c>
      <c r="B33" s="310"/>
      <c r="C33" s="316"/>
      <c r="D33" s="316">
        <v>2000</v>
      </c>
      <c r="E33" s="316"/>
      <c r="F33" s="316"/>
      <c r="G33" s="316"/>
      <c r="H33" s="316"/>
      <c r="I33" s="316"/>
      <c r="J33" s="316"/>
      <c r="K33" s="316"/>
      <c r="L33" s="316"/>
      <c r="M33" s="316"/>
      <c r="N33" s="315">
        <f>SUM(C33:M33)</f>
        <v>2000</v>
      </c>
    </row>
    <row r="34" spans="1:14" x14ac:dyDescent="0.25">
      <c r="A34" s="22" t="s">
        <v>461</v>
      </c>
      <c r="B34" s="310"/>
      <c r="C34" s="310">
        <f>1765000*1.54%</f>
        <v>27181</v>
      </c>
      <c r="D34" s="310">
        <f t="shared" ref="D34:F34" si="6">D10*1.54%</f>
        <v>0</v>
      </c>
      <c r="E34" s="310">
        <f t="shared" si="6"/>
        <v>0</v>
      </c>
      <c r="F34" s="310">
        <f t="shared" si="6"/>
        <v>0</v>
      </c>
      <c r="G34" s="310">
        <f>G11*1.54%</f>
        <v>27720</v>
      </c>
      <c r="H34" s="315"/>
      <c r="I34" s="315"/>
      <c r="J34" s="315"/>
      <c r="K34" s="315"/>
      <c r="L34" s="315"/>
      <c r="M34" s="315"/>
      <c r="N34" s="315">
        <f t="shared" ref="N34:N35" si="7">SUM(B34:M34)</f>
        <v>54901</v>
      </c>
    </row>
    <row r="35" spans="1:14" x14ac:dyDescent="0.25">
      <c r="A35" s="22" t="s">
        <v>29</v>
      </c>
      <c r="B35" s="310">
        <v>0</v>
      </c>
      <c r="C35" s="316"/>
      <c r="D35" s="308"/>
      <c r="E35" s="315"/>
      <c r="F35" s="315"/>
      <c r="G35" s="315"/>
      <c r="H35" s="315"/>
      <c r="I35" s="315"/>
      <c r="J35" s="315"/>
      <c r="K35" s="315"/>
      <c r="L35" s="315"/>
      <c r="M35" s="315"/>
      <c r="N35" s="315">
        <f t="shared" si="7"/>
        <v>0</v>
      </c>
    </row>
    <row r="36" spans="1:14" x14ac:dyDescent="0.25">
      <c r="A36" s="8" t="s">
        <v>462</v>
      </c>
      <c r="B36" s="316"/>
      <c r="C36" s="316"/>
      <c r="D36" s="315"/>
      <c r="E36" s="315"/>
      <c r="F36" s="315"/>
      <c r="G36" s="315"/>
      <c r="H36" s="315"/>
      <c r="I36" s="315"/>
      <c r="J36" s="315"/>
      <c r="K36" s="315"/>
      <c r="L36" s="315">
        <v>350</v>
      </c>
      <c r="M36" s="315"/>
      <c r="N36" s="315">
        <f>SUM(M36:M36)</f>
        <v>0</v>
      </c>
    </row>
    <row r="37" spans="1:14" x14ac:dyDescent="0.25">
      <c r="A37" s="8" t="s">
        <v>463</v>
      </c>
      <c r="B37" s="320">
        <v>35</v>
      </c>
      <c r="C37" s="320">
        <v>35</v>
      </c>
      <c r="D37" s="320">
        <v>35</v>
      </c>
      <c r="E37" s="320">
        <v>35</v>
      </c>
      <c r="F37" s="320">
        <v>35</v>
      </c>
      <c r="G37" s="320">
        <v>35</v>
      </c>
      <c r="H37" s="320">
        <v>35</v>
      </c>
      <c r="I37" s="320">
        <v>35</v>
      </c>
      <c r="J37" s="320">
        <v>35</v>
      </c>
      <c r="K37" s="320">
        <v>35</v>
      </c>
      <c r="L37" s="320">
        <v>35</v>
      </c>
      <c r="M37" s="320">
        <v>35</v>
      </c>
      <c r="N37" s="315">
        <f>SUM(B37:M37)</f>
        <v>420</v>
      </c>
    </row>
    <row r="38" spans="1:14" x14ac:dyDescent="0.25">
      <c r="A38" s="8" t="s">
        <v>464</v>
      </c>
      <c r="B38" s="320"/>
      <c r="C38" s="320"/>
      <c r="D38" s="320">
        <v>100000</v>
      </c>
      <c r="E38" s="320"/>
      <c r="F38" s="320"/>
      <c r="G38" s="320"/>
      <c r="H38" s="320"/>
      <c r="I38" s="320"/>
      <c r="J38" s="320"/>
      <c r="K38" s="320"/>
      <c r="L38" s="320"/>
      <c r="M38" s="320"/>
      <c r="N38" s="315"/>
    </row>
    <row r="39" spans="1:14" x14ac:dyDescent="0.25">
      <c r="A39" s="309" t="s">
        <v>96</v>
      </c>
      <c r="B39" s="320">
        <f>SUM(B14:B38)</f>
        <v>2899306.59</v>
      </c>
      <c r="C39" s="320">
        <f t="shared" ref="C39:N39" si="8">SUM(C14:C38)</f>
        <v>98451.199999999997</v>
      </c>
      <c r="D39" s="320">
        <f t="shared" si="8"/>
        <v>1602870.2</v>
      </c>
      <c r="E39" s="320">
        <f t="shared" si="8"/>
        <v>-1644.5916666666681</v>
      </c>
      <c r="F39" s="320">
        <f t="shared" si="8"/>
        <v>2355.4083333333319</v>
      </c>
      <c r="G39" s="320">
        <f t="shared" si="8"/>
        <v>490075.40833333309</v>
      </c>
      <c r="H39" s="320">
        <f t="shared" si="8"/>
        <v>35</v>
      </c>
      <c r="I39" s="320">
        <f t="shared" si="8"/>
        <v>35</v>
      </c>
      <c r="J39" s="320">
        <f t="shared" si="8"/>
        <v>35</v>
      </c>
      <c r="K39" s="320">
        <f t="shared" si="8"/>
        <v>35</v>
      </c>
      <c r="L39" s="320">
        <f t="shared" si="8"/>
        <v>385</v>
      </c>
      <c r="M39" s="320">
        <f t="shared" si="8"/>
        <v>35</v>
      </c>
      <c r="N39" s="320">
        <f t="shared" si="8"/>
        <v>4944888.1150000002</v>
      </c>
    </row>
    <row r="40" spans="1:14" x14ac:dyDescent="0.25">
      <c r="A40" s="309" t="s">
        <v>189</v>
      </c>
      <c r="B40" s="320">
        <f t="shared" ref="B40:M40" si="9">+B13-B39</f>
        <v>12693.410000000149</v>
      </c>
      <c r="C40" s="320">
        <f t="shared" si="9"/>
        <v>28048.800000000003</v>
      </c>
      <c r="D40" s="320">
        <f t="shared" si="9"/>
        <v>-14370.199999999953</v>
      </c>
      <c r="E40" s="320">
        <f t="shared" si="9"/>
        <v>1644.5916666666681</v>
      </c>
      <c r="F40" s="320">
        <f t="shared" si="9"/>
        <v>-2355.4083333333319</v>
      </c>
      <c r="G40" s="320">
        <f t="shared" si="9"/>
        <v>1309924.5916666668</v>
      </c>
      <c r="H40" s="320">
        <f t="shared" si="9"/>
        <v>-35</v>
      </c>
      <c r="I40" s="320">
        <f t="shared" si="9"/>
        <v>-35</v>
      </c>
      <c r="J40" s="320">
        <f t="shared" si="9"/>
        <v>-35</v>
      </c>
      <c r="K40" s="320">
        <f t="shared" si="9"/>
        <v>-35</v>
      </c>
      <c r="L40" s="320">
        <f t="shared" si="9"/>
        <v>-385</v>
      </c>
      <c r="M40" s="320">
        <f t="shared" si="9"/>
        <v>-35</v>
      </c>
      <c r="N40" s="316">
        <f>SUM(B40:M40)</f>
        <v>1335025.7850000004</v>
      </c>
    </row>
    <row r="41" spans="1:14" x14ac:dyDescent="0.25">
      <c r="A41" s="309" t="s">
        <v>465</v>
      </c>
      <c r="B41" s="316">
        <f t="shared" ref="B41:M41" si="10">B3+B40</f>
        <v>34922.720000000147</v>
      </c>
      <c r="C41" s="316">
        <f t="shared" si="10"/>
        <v>62971.52000000015</v>
      </c>
      <c r="D41" s="316">
        <f t="shared" si="10"/>
        <v>48601.320000000196</v>
      </c>
      <c r="E41" s="316">
        <f t="shared" si="10"/>
        <v>50245.911666666863</v>
      </c>
      <c r="F41" s="316">
        <f t="shared" si="10"/>
        <v>47890.50333333353</v>
      </c>
      <c r="G41" s="316">
        <f t="shared" si="10"/>
        <v>1357815.0950000002</v>
      </c>
      <c r="H41" s="316">
        <f t="shared" si="10"/>
        <v>1357780.0950000002</v>
      </c>
      <c r="I41" s="316">
        <f t="shared" si="10"/>
        <v>1357745.0950000002</v>
      </c>
      <c r="J41" s="316">
        <f t="shared" si="10"/>
        <v>1357710.0950000002</v>
      </c>
      <c r="K41" s="316">
        <f t="shared" si="10"/>
        <v>1357675.0950000002</v>
      </c>
      <c r="L41" s="316">
        <f t="shared" si="10"/>
        <v>1357290.0950000002</v>
      </c>
      <c r="M41" s="316">
        <f t="shared" si="10"/>
        <v>1357255.0950000002</v>
      </c>
      <c r="N41" s="316">
        <f>SUM(B41:M41)</f>
        <v>9747902.6400000043</v>
      </c>
    </row>
    <row r="43" spans="1:14" x14ac:dyDescent="0.25">
      <c r="C43" s="4"/>
    </row>
    <row r="44" spans="1:14" x14ac:dyDescent="0.25">
      <c r="A44" t="s">
        <v>466</v>
      </c>
      <c r="B44" s="7">
        <f>B8-B14</f>
        <v>1931999.9999999998</v>
      </c>
      <c r="C44" s="310">
        <f t="shared" ref="C44:M44" si="11">B44-C14</f>
        <v>1931999.9999999998</v>
      </c>
      <c r="D44" s="310">
        <f t="shared" si="11"/>
        <v>453499.99999999977</v>
      </c>
      <c r="E44" s="310">
        <f t="shared" si="11"/>
        <v>453499.99999999977</v>
      </c>
      <c r="F44" s="310">
        <f t="shared" si="11"/>
        <v>453499.99999999977</v>
      </c>
      <c r="G44" s="310">
        <f t="shared" si="11"/>
        <v>0</v>
      </c>
      <c r="H44" s="310">
        <f t="shared" si="11"/>
        <v>0</v>
      </c>
      <c r="I44" s="310">
        <f t="shared" si="11"/>
        <v>0</v>
      </c>
      <c r="J44" s="310">
        <f t="shared" si="11"/>
        <v>0</v>
      </c>
      <c r="K44" s="310">
        <f t="shared" si="11"/>
        <v>0</v>
      </c>
      <c r="L44" s="310">
        <f t="shared" si="11"/>
        <v>0</v>
      </c>
      <c r="M44" s="310">
        <f t="shared" si="11"/>
        <v>0</v>
      </c>
    </row>
    <row r="45" spans="1:14" x14ac:dyDescent="0.25">
      <c r="A45" t="s">
        <v>205</v>
      </c>
      <c r="B45" s="239">
        <v>6.1400000000000003E-2</v>
      </c>
    </row>
    <row r="46" spans="1:14" x14ac:dyDescent="0.25">
      <c r="A46" t="s">
        <v>467</v>
      </c>
      <c r="B46" s="239">
        <v>6.0000000000000001E-3</v>
      </c>
    </row>
    <row r="51" spans="15:15" x14ac:dyDescent="0.25">
      <c r="O51" s="321" t="s">
        <v>468</v>
      </c>
    </row>
    <row r="57" spans="15:15" x14ac:dyDescent="0.25">
      <c r="O57">
        <v>0</v>
      </c>
    </row>
  </sheetData>
  <dataValidations count="7">
    <dataValidation type="decimal" operator="lessThanOrEqual" allowBlank="1" showInputMessage="1" showErrorMessage="1" sqref="B42:M42" xr:uid="{7A196349-B033-4943-9959-CAF6B2EBC4CE}">
      <formula1>10000000</formula1>
    </dataValidation>
    <dataValidation allowBlank="1" showInputMessage="1" showErrorMessage="1" prompt="Create Small Business Cash Flow Projection in this worksheet. Enter details in tables named Cash on Hand, Cash Receipts, Expenses, Cash Paid Out, and Other Operational Data " sqref="A1" xr:uid="{E92E5CFF-E7EF-4557-869D-7A96531F1CEF}"/>
    <dataValidation operator="greaterThanOrEqual" allowBlank="1" showInputMessage="1" showErrorMessage="1" error="Please enter a number greater than zero." prompt="Enter Cash on hand in beginning in cell below" sqref="B2" xr:uid="{5F6C48F2-A8FA-4DA8-B120-ECD4804C0D44}"/>
    <dataValidation allowBlank="1" showInputMessage="1" prompt="Cash on hand is auto calculated for this month in cell below" sqref="C2:M2" xr:uid="{9753E344-D72D-4F11-AC45-BA5585EE4AB4}"/>
    <dataValidation allowBlank="1" showInputMessage="1" prompt="Enter values for this month in this column under this heading" sqref="F16:M19 C1 E1 G1 I1 K1 M1 D16:D19" xr:uid="{30BC826B-E75D-43C0-A270-86B6FBB13CF5}"/>
    <dataValidation allowBlank="1" showInputMessage="1" showErrorMessage="1" prompt="Enter values for this month in this column under this heading" sqref="C16:C19 G16:G19 B1 D1 F1 H1 J1 L1" xr:uid="{59B668AB-305D-47C4-9A2B-B71B35123010}"/>
    <dataValidation type="decimal" allowBlank="1" showInputMessage="1" showErrorMessage="1" sqref="J6:M6 H6:H8 B4:I4 B7:B8 I7:M8 C9:E11 C6:C12 D5:G5 I5 D7:G8 E12:F12 H12:M12 C3:M3 K4:M5 G9:K11 M9:M11 C36:M36 C25:M26 M24 D20:M23 C20:C22" xr:uid="{9C14303B-B4A7-4CEF-9733-3C157CE048CE}">
      <formula1>-10000000</formula1>
      <formula2>10000000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9F82E-65C4-4450-B89B-AA40D25C3115}">
  <dimension ref="A1:AA96"/>
  <sheetViews>
    <sheetView zoomScale="142" zoomScaleNormal="70" workbookViewId="0">
      <pane ySplit="1" topLeftCell="A2" activePane="bottomLeft" state="frozen"/>
      <selection pane="bottomLeft" activeCell="L19" sqref="L19"/>
    </sheetView>
  </sheetViews>
  <sheetFormatPr defaultRowHeight="15" x14ac:dyDescent="0.25"/>
  <cols>
    <col min="1" max="1" width="27.85546875" customWidth="1"/>
    <col min="2" max="2" width="12.42578125" customWidth="1"/>
    <col min="3" max="3" width="12.85546875" customWidth="1"/>
    <col min="4" max="4" width="14.5703125" customWidth="1"/>
    <col min="5" max="6" width="12.42578125" customWidth="1"/>
    <col min="7" max="7" width="7.85546875" customWidth="1"/>
    <col min="8" max="8" width="11.5703125" customWidth="1"/>
    <col min="9" max="9" width="10.85546875" customWidth="1"/>
    <col min="10" max="10" width="9.28515625" customWidth="1"/>
    <col min="11" max="11" width="8.7109375" customWidth="1"/>
    <col min="12" max="12" width="10.42578125" customWidth="1"/>
    <col min="13" max="13" width="7.85546875" customWidth="1"/>
    <col min="14" max="14" width="11.5703125" customWidth="1"/>
    <col min="16" max="16" width="11.85546875" bestFit="1" customWidth="1"/>
    <col min="17" max="17" width="13.42578125" customWidth="1"/>
    <col min="18" max="18" width="11.7109375" customWidth="1"/>
    <col min="19" max="19" width="6.140625" customWidth="1"/>
    <col min="20" max="20" width="11.7109375" bestFit="1" customWidth="1"/>
    <col min="21" max="21" width="9.5703125" customWidth="1"/>
    <col min="22" max="22" width="11.7109375" bestFit="1" customWidth="1"/>
    <col min="24" max="24" width="12.5703125" customWidth="1"/>
    <col min="25" max="25" width="8" customWidth="1"/>
  </cols>
  <sheetData>
    <row r="1" spans="1:27" ht="15.75" thickBot="1" x14ac:dyDescent="0.3">
      <c r="A1" s="337" t="s">
        <v>37</v>
      </c>
      <c r="B1" s="338"/>
      <c r="C1" s="339"/>
      <c r="D1" s="196"/>
      <c r="F1" s="198" t="s">
        <v>199</v>
      </c>
      <c r="G1" s="226" t="s">
        <v>201</v>
      </c>
      <c r="H1" s="226" t="s">
        <v>202</v>
      </c>
      <c r="I1" s="226" t="s">
        <v>203</v>
      </c>
      <c r="J1" s="226" t="s">
        <v>204</v>
      </c>
      <c r="K1" s="226" t="s">
        <v>205</v>
      </c>
      <c r="L1" s="226" t="s">
        <v>149</v>
      </c>
      <c r="M1" s="198" t="s">
        <v>260</v>
      </c>
    </row>
    <row r="2" spans="1:27" x14ac:dyDescent="0.25">
      <c r="A2" s="118" t="s">
        <v>38</v>
      </c>
      <c r="B2" s="119" t="s">
        <v>39</v>
      </c>
      <c r="C2" s="120">
        <v>0</v>
      </c>
      <c r="D2" s="197"/>
      <c r="F2" s="198" t="s">
        <v>12</v>
      </c>
      <c r="G2" s="198">
        <v>1</v>
      </c>
      <c r="H2" s="198">
        <v>70000</v>
      </c>
      <c r="I2" s="201">
        <v>45717</v>
      </c>
      <c r="J2" s="198">
        <v>15</v>
      </c>
      <c r="K2" s="202">
        <v>0.15</v>
      </c>
      <c r="L2" s="198">
        <f>(J2/12)*(H2*K2)</f>
        <v>13125</v>
      </c>
      <c r="M2" s="198"/>
      <c r="Z2" s="198"/>
      <c r="AA2" s="198" t="s">
        <v>200</v>
      </c>
    </row>
    <row r="3" spans="1:27" ht="15.75" thickBot="1" x14ac:dyDescent="0.3">
      <c r="A3" s="121" t="s">
        <v>40</v>
      </c>
      <c r="B3" s="122" t="s">
        <v>41</v>
      </c>
      <c r="C3" s="123">
        <f>+C2*9.29*C5</f>
        <v>0</v>
      </c>
      <c r="D3" s="197"/>
      <c r="F3" s="198"/>
      <c r="G3" s="198">
        <v>2</v>
      </c>
      <c r="H3" s="198">
        <f>200000-H2</f>
        <v>130000</v>
      </c>
      <c r="I3" s="201">
        <v>45992</v>
      </c>
      <c r="J3" s="198">
        <v>5</v>
      </c>
      <c r="K3" s="202">
        <v>0.15</v>
      </c>
      <c r="L3" s="198">
        <f>(J3/12)*(H3*K3)</f>
        <v>8125</v>
      </c>
      <c r="M3" s="198">
        <f>SUM(L2:L3)</f>
        <v>21250</v>
      </c>
      <c r="Z3" s="198"/>
      <c r="AA3" s="198" t="s">
        <v>206</v>
      </c>
    </row>
    <row r="4" spans="1:27" ht="15.75" x14ac:dyDescent="0.25">
      <c r="A4" s="118" t="s">
        <v>42</v>
      </c>
      <c r="B4" s="119"/>
      <c r="C4" s="124">
        <v>1295</v>
      </c>
      <c r="D4" s="199"/>
      <c r="E4" s="200"/>
      <c r="F4" s="205"/>
      <c r="G4" s="198" t="s">
        <v>89</v>
      </c>
      <c r="H4" s="198">
        <f>SUM(H2:H3)</f>
        <v>200000</v>
      </c>
      <c r="I4" s="198"/>
      <c r="J4" s="198"/>
      <c r="K4" s="198"/>
      <c r="L4" s="198"/>
      <c r="M4" s="198"/>
      <c r="Z4" s="198"/>
      <c r="AA4" s="198"/>
    </row>
    <row r="5" spans="1:27" x14ac:dyDescent="0.25">
      <c r="A5" s="118" t="s">
        <v>43</v>
      </c>
      <c r="B5" s="119"/>
      <c r="C5" s="125">
        <v>2</v>
      </c>
      <c r="D5" s="203"/>
      <c r="E5" t="s">
        <v>207</v>
      </c>
      <c r="F5" s="198"/>
      <c r="G5" s="198"/>
      <c r="H5" s="198"/>
      <c r="I5" s="198"/>
      <c r="J5" s="198"/>
      <c r="K5" s="198"/>
      <c r="L5" s="198"/>
      <c r="M5" s="198"/>
      <c r="Z5" s="198"/>
      <c r="AA5" s="198"/>
    </row>
    <row r="6" spans="1:27" x14ac:dyDescent="0.25">
      <c r="A6" s="118" t="s">
        <v>44</v>
      </c>
      <c r="B6" s="119">
        <v>2430</v>
      </c>
      <c r="C6" s="126">
        <f>+(1765000+1775000)/2</f>
        <v>1770000</v>
      </c>
      <c r="D6" s="204"/>
      <c r="E6" s="5">
        <f>C8/C4</f>
        <v>2733.5907335907336</v>
      </c>
      <c r="F6" s="198" t="s">
        <v>11</v>
      </c>
      <c r="G6" s="198">
        <v>1</v>
      </c>
      <c r="H6" s="198">
        <v>70000</v>
      </c>
      <c r="I6" s="201">
        <v>45748</v>
      </c>
      <c r="J6" s="198">
        <v>15</v>
      </c>
      <c r="K6" s="202">
        <v>0.15</v>
      </c>
      <c r="L6" s="198">
        <f>(J6/12)*(H6*K6)</f>
        <v>13125</v>
      </c>
      <c r="M6" s="198"/>
      <c r="Z6" s="198"/>
      <c r="AA6" s="198"/>
    </row>
    <row r="7" spans="1:27" x14ac:dyDescent="0.25">
      <c r="A7" s="118"/>
      <c r="B7" s="119"/>
      <c r="C7" s="127"/>
      <c r="D7" s="206"/>
      <c r="F7" s="198"/>
      <c r="G7" s="198">
        <v>2</v>
      </c>
      <c r="H7" s="198">
        <v>100000</v>
      </c>
      <c r="I7" s="201">
        <v>46023</v>
      </c>
      <c r="J7" s="198">
        <v>5</v>
      </c>
      <c r="K7" s="202">
        <v>0.15</v>
      </c>
      <c r="L7" s="198">
        <f>(J7/12)*(H7*K7)</f>
        <v>6250</v>
      </c>
      <c r="M7" s="198"/>
      <c r="Z7" s="198"/>
      <c r="AA7" s="198"/>
    </row>
    <row r="8" spans="1:27" x14ac:dyDescent="0.25">
      <c r="A8" s="118" t="s">
        <v>45</v>
      </c>
      <c r="B8" s="119"/>
      <c r="C8" s="128">
        <f>C6*C5+C7</f>
        <v>3540000</v>
      </c>
      <c r="D8" s="207"/>
      <c r="E8" s="4"/>
      <c r="F8" s="198"/>
      <c r="G8" s="198">
        <v>3</v>
      </c>
      <c r="H8" s="198">
        <f>600000-H7-H6</f>
        <v>430000</v>
      </c>
      <c r="I8" s="201">
        <v>46023</v>
      </c>
      <c r="J8" s="198">
        <v>5</v>
      </c>
      <c r="K8" s="202">
        <v>0.15</v>
      </c>
      <c r="L8" s="198">
        <f>(J8/12)*(H8*K8)</f>
        <v>26875</v>
      </c>
      <c r="M8" s="198">
        <f>SUM(L6:L8)</f>
        <v>46250</v>
      </c>
      <c r="Z8" s="198"/>
      <c r="AA8" s="198"/>
    </row>
    <row r="9" spans="1:27" x14ac:dyDescent="0.25">
      <c r="A9" s="118" t="s">
        <v>46</v>
      </c>
      <c r="B9" s="119"/>
      <c r="C9" s="128"/>
      <c r="D9" s="207"/>
      <c r="F9" s="198" t="s">
        <v>234</v>
      </c>
      <c r="Z9" s="198"/>
      <c r="AA9" s="198"/>
    </row>
    <row r="10" spans="1:27" x14ac:dyDescent="0.25">
      <c r="A10" s="129" t="s">
        <v>47</v>
      </c>
      <c r="B10" s="130">
        <f>C10/C10</f>
        <v>1</v>
      </c>
      <c r="C10" s="131">
        <f>+C8+C9</f>
        <v>3540000</v>
      </c>
      <c r="D10" s="208"/>
      <c r="G10" s="198" t="s">
        <v>89</v>
      </c>
      <c r="H10" s="209">
        <f>SUM(H6:H8)</f>
        <v>600000</v>
      </c>
      <c r="I10" s="198"/>
      <c r="J10" s="198"/>
      <c r="K10" s="198"/>
      <c r="L10" s="198"/>
      <c r="M10" s="198"/>
      <c r="Z10" s="198"/>
      <c r="AA10" s="198"/>
    </row>
    <row r="11" spans="1:27" x14ac:dyDescent="0.25">
      <c r="A11" s="132" t="s">
        <v>48</v>
      </c>
      <c r="B11" s="119"/>
      <c r="C11" s="127"/>
      <c r="D11" s="206"/>
      <c r="E11" t="s">
        <v>208</v>
      </c>
      <c r="F11" s="198" t="s">
        <v>209</v>
      </c>
      <c r="G11" s="198"/>
      <c r="H11" s="209">
        <f>+H4+H10</f>
        <v>800000</v>
      </c>
      <c r="I11" s="198"/>
      <c r="J11" s="198"/>
      <c r="K11" s="198"/>
      <c r="L11" s="198"/>
      <c r="M11" s="198"/>
      <c r="Z11" s="198"/>
      <c r="AA11" s="198"/>
    </row>
    <row r="12" spans="1:27" x14ac:dyDescent="0.25">
      <c r="A12" s="118" t="s">
        <v>49</v>
      </c>
      <c r="B12" s="133">
        <f>+C12/C10</f>
        <v>0.77966101694915257</v>
      </c>
      <c r="C12" s="134">
        <v>2760000</v>
      </c>
      <c r="D12" s="210"/>
      <c r="E12" s="154">
        <f>+C12/C4</f>
        <v>2131.2741312741314</v>
      </c>
      <c r="F12" s="198"/>
      <c r="G12" s="198"/>
      <c r="H12" s="198"/>
      <c r="I12" s="198"/>
      <c r="J12" s="198"/>
      <c r="K12" s="198"/>
      <c r="L12" s="198"/>
      <c r="M12" s="198"/>
      <c r="Z12" s="198"/>
      <c r="AA12" s="198"/>
    </row>
    <row r="13" spans="1:27" x14ac:dyDescent="0.25">
      <c r="A13" s="118" t="s">
        <v>50</v>
      </c>
      <c r="B13" s="135">
        <v>0.06</v>
      </c>
      <c r="C13" s="127">
        <f>(C12+C11)*B13</f>
        <v>165600</v>
      </c>
      <c r="D13" s="206"/>
      <c r="F13" s="198" t="s">
        <v>210</v>
      </c>
      <c r="G13" s="198">
        <v>1</v>
      </c>
      <c r="H13" s="198">
        <v>150000</v>
      </c>
      <c r="I13" s="201">
        <v>46023</v>
      </c>
      <c r="J13" s="198">
        <v>5</v>
      </c>
      <c r="K13" s="202">
        <v>0.15</v>
      </c>
      <c r="L13" s="198">
        <f>(J13/12)*(H13*K13)</f>
        <v>9375</v>
      </c>
      <c r="M13" s="198">
        <f>+L13</f>
        <v>9375</v>
      </c>
      <c r="Z13" s="198"/>
      <c r="AA13" s="198"/>
    </row>
    <row r="14" spans="1:27" x14ac:dyDescent="0.25">
      <c r="A14" s="118" t="s">
        <v>51</v>
      </c>
      <c r="B14" s="136"/>
      <c r="C14" s="127">
        <v>40000</v>
      </c>
      <c r="D14" s="206"/>
      <c r="F14" s="198" t="s">
        <v>196</v>
      </c>
      <c r="G14" s="198">
        <v>1</v>
      </c>
      <c r="H14" s="198">
        <v>250000</v>
      </c>
      <c r="I14" s="201">
        <v>46023</v>
      </c>
      <c r="J14" s="198">
        <v>5</v>
      </c>
      <c r="K14" s="202">
        <v>0.15</v>
      </c>
      <c r="L14" s="198">
        <f>(J14/12)*(H14*K14)</f>
        <v>15625</v>
      </c>
      <c r="M14" s="198">
        <f>+L14</f>
        <v>15625</v>
      </c>
      <c r="Z14" s="198"/>
      <c r="AA14" s="198"/>
    </row>
    <row r="15" spans="1:27" x14ac:dyDescent="0.25">
      <c r="A15" s="118" t="s">
        <v>211</v>
      </c>
      <c r="B15" s="119"/>
      <c r="C15" s="127">
        <v>13000</v>
      </c>
      <c r="D15" s="206"/>
      <c r="Z15" s="198"/>
      <c r="AA15" s="198"/>
    </row>
    <row r="16" spans="1:27" x14ac:dyDescent="0.25">
      <c r="A16" s="118" t="s">
        <v>218</v>
      </c>
      <c r="B16" s="119"/>
      <c r="C16" s="127">
        <f>'Senior Funding Model'!D20</f>
        <v>22251.999999999996</v>
      </c>
      <c r="D16" s="206"/>
      <c r="F16" s="198"/>
      <c r="G16" s="198"/>
      <c r="H16" s="198"/>
      <c r="I16" s="198"/>
      <c r="J16" s="198"/>
      <c r="K16" s="198"/>
      <c r="L16" s="198"/>
      <c r="M16" s="198"/>
    </row>
    <row r="17" spans="1:27" x14ac:dyDescent="0.25">
      <c r="A17" s="129" t="s">
        <v>53</v>
      </c>
      <c r="B17" s="130">
        <f>C17/C10</f>
        <v>0.84769830508474575</v>
      </c>
      <c r="C17" s="131">
        <f>SUM(C11:C16)</f>
        <v>3000852</v>
      </c>
      <c r="D17" s="208"/>
      <c r="F17" s="198" t="s">
        <v>213</v>
      </c>
      <c r="G17" s="198"/>
      <c r="H17" s="211">
        <f>+H11+H13+H14</f>
        <v>1200000</v>
      </c>
      <c r="I17" s="198"/>
      <c r="J17" s="198"/>
      <c r="K17" s="212" t="s">
        <v>214</v>
      </c>
      <c r="L17" s="209">
        <f>SUM(L2:L16)</f>
        <v>92500</v>
      </c>
      <c r="M17" s="198"/>
      <c r="Z17" s="198"/>
      <c r="AA17" s="198"/>
    </row>
    <row r="18" spans="1:27" x14ac:dyDescent="0.25">
      <c r="A18" s="137" t="s">
        <v>52</v>
      </c>
      <c r="B18" s="138">
        <v>0.33</v>
      </c>
      <c r="C18" s="139">
        <v>0</v>
      </c>
      <c r="D18" s="139"/>
      <c r="E18" s="4"/>
      <c r="F18" s="198" t="s">
        <v>345</v>
      </c>
      <c r="G18" s="198"/>
      <c r="H18" s="205">
        <f>F27-H17</f>
        <v>-35895.999999999767</v>
      </c>
      <c r="I18" s="198"/>
      <c r="J18" s="198"/>
      <c r="K18" s="198"/>
      <c r="M18" s="209"/>
      <c r="Z18" s="198"/>
      <c r="AA18" s="198"/>
    </row>
    <row r="19" spans="1:27" x14ac:dyDescent="0.25">
      <c r="A19" s="118" t="s">
        <v>215</v>
      </c>
      <c r="B19" s="135">
        <v>0.01</v>
      </c>
      <c r="C19" s="134">
        <v>25000</v>
      </c>
      <c r="D19" s="210"/>
      <c r="F19" s="198" t="s">
        <v>216</v>
      </c>
      <c r="G19" s="198">
        <v>1</v>
      </c>
      <c r="H19" s="209">
        <f>E27</f>
        <v>1931999.9999999998</v>
      </c>
      <c r="I19" s="201">
        <v>46023</v>
      </c>
      <c r="J19" s="198">
        <v>3</v>
      </c>
      <c r="K19" s="202">
        <v>6.1400000000000003E-2</v>
      </c>
      <c r="L19" s="213">
        <f>(J19/12)*(H19*K19)</f>
        <v>29656.199999999997</v>
      </c>
      <c r="M19" s="198"/>
      <c r="Z19" s="198"/>
      <c r="AA19" s="198"/>
    </row>
    <row r="20" spans="1:27" x14ac:dyDescent="0.25">
      <c r="A20" s="118"/>
      <c r="B20" s="135">
        <v>8.0000000000000002E-3</v>
      </c>
      <c r="C20" s="134"/>
      <c r="D20" s="210"/>
      <c r="Z20" s="198"/>
      <c r="AA20" s="198"/>
    </row>
    <row r="21" spans="1:27" x14ac:dyDescent="0.25">
      <c r="A21" s="118" t="s">
        <v>54</v>
      </c>
      <c r="B21" s="135">
        <v>1.54E-2</v>
      </c>
      <c r="C21" s="140">
        <f>$C$10*B21</f>
        <v>54516</v>
      </c>
      <c r="D21" s="214"/>
      <c r="F21" t="s">
        <v>89</v>
      </c>
      <c r="H21" s="7">
        <f>H19+H17</f>
        <v>3132000</v>
      </c>
      <c r="J21" t="s">
        <v>217</v>
      </c>
      <c r="L21" s="7">
        <f>+L19+L17</f>
        <v>122156.2</v>
      </c>
    </row>
    <row r="22" spans="1:27" x14ac:dyDescent="0.25">
      <c r="A22" s="118" t="s">
        <v>55</v>
      </c>
      <c r="B22" s="135"/>
      <c r="C22" s="140">
        <v>5000</v>
      </c>
      <c r="D22" s="214"/>
    </row>
    <row r="23" spans="1:27" x14ac:dyDescent="0.25">
      <c r="A23" s="137" t="s">
        <v>56</v>
      </c>
      <c r="B23" s="138"/>
      <c r="C23" s="141">
        <f>+(30000*1.1)+10000</f>
        <v>43000</v>
      </c>
      <c r="D23" s="214"/>
    </row>
    <row r="24" spans="1:27" x14ac:dyDescent="0.25">
      <c r="A24" s="137" t="s">
        <v>57</v>
      </c>
      <c r="B24" s="138"/>
      <c r="C24" s="142"/>
      <c r="D24" s="210"/>
      <c r="F24" t="s">
        <v>35</v>
      </c>
      <c r="J24" s="53"/>
    </row>
    <row r="25" spans="1:27" x14ac:dyDescent="0.25">
      <c r="A25" s="129" t="s">
        <v>58</v>
      </c>
      <c r="B25" s="143">
        <f>C25/C10</f>
        <v>3.6021468926553675E-2</v>
      </c>
      <c r="C25" s="131">
        <f>SUM(C18:C24)</f>
        <v>127516</v>
      </c>
      <c r="D25" s="208"/>
      <c r="R25" t="s">
        <v>219</v>
      </c>
      <c r="T25" t="s">
        <v>202</v>
      </c>
      <c r="U25" t="s">
        <v>220</v>
      </c>
      <c r="V25" t="s">
        <v>221</v>
      </c>
    </row>
    <row r="26" spans="1:27" x14ac:dyDescent="0.25">
      <c r="A26" s="129" t="s">
        <v>59</v>
      </c>
      <c r="B26" s="144"/>
      <c r="C26" s="145">
        <f>C17+C25</f>
        <v>3128368</v>
      </c>
      <c r="D26" s="145"/>
      <c r="E26" t="s">
        <v>212</v>
      </c>
      <c r="F26" t="s">
        <v>238</v>
      </c>
      <c r="G26" s="223"/>
      <c r="H26" s="223"/>
      <c r="R26" t="s">
        <v>216</v>
      </c>
      <c r="T26" s="7">
        <f>H19</f>
        <v>1931999.9999999998</v>
      </c>
      <c r="U26" s="6">
        <f>K19</f>
        <v>6.1400000000000003E-2</v>
      </c>
      <c r="V26" s="163">
        <f>T26*U26/12</f>
        <v>9885.4</v>
      </c>
    </row>
    <row r="27" spans="1:27" x14ac:dyDescent="0.25">
      <c r="A27" s="146" t="s">
        <v>60</v>
      </c>
      <c r="B27" s="147">
        <f>+C27/C26</f>
        <v>0.13158042787805016</v>
      </c>
      <c r="C27" s="148">
        <f>+C10-C26</f>
        <v>411632</v>
      </c>
      <c r="D27" s="148"/>
      <c r="E27" s="4">
        <f>C12*70%</f>
        <v>1931999.9999999998</v>
      </c>
      <c r="F27" s="4">
        <f>+C17-E27+C19+C23+C22+C16</f>
        <v>1164104.0000000002</v>
      </c>
      <c r="G27" s="223"/>
      <c r="H27" s="223"/>
      <c r="R27" t="s">
        <v>222</v>
      </c>
      <c r="T27">
        <v>1000000</v>
      </c>
      <c r="U27" s="6">
        <v>0.15</v>
      </c>
      <c r="V27">
        <f>U27*T27/12</f>
        <v>12500</v>
      </c>
    </row>
    <row r="28" spans="1:27" x14ac:dyDescent="0.25">
      <c r="A28" s="216" t="s">
        <v>223</v>
      </c>
      <c r="B28" s="217">
        <f>+C28/C8</f>
        <v>3.45074011299435E-2</v>
      </c>
      <c r="C28" s="218">
        <f>L21</f>
        <v>122156.2</v>
      </c>
      <c r="D28" s="218"/>
      <c r="E28" s="224"/>
      <c r="F28" s="224"/>
      <c r="G28" s="225"/>
      <c r="H28" s="225"/>
      <c r="I28" s="11"/>
      <c r="T28" t="s">
        <v>89</v>
      </c>
      <c r="V28" s="163">
        <f>SUM(V26:V27)</f>
        <v>22385.4</v>
      </c>
    </row>
    <row r="29" spans="1:27" x14ac:dyDescent="0.25">
      <c r="A29" t="s">
        <v>224</v>
      </c>
      <c r="B29" s="11">
        <f>+C29/C8</f>
        <v>6.2471799883682323E-2</v>
      </c>
      <c r="C29" s="4">
        <f>+B92-B87</f>
        <v>221150.17158823542</v>
      </c>
      <c r="D29" s="4"/>
      <c r="T29" t="s">
        <v>225</v>
      </c>
      <c r="V29" s="163">
        <f>V28/2</f>
        <v>11192.7</v>
      </c>
    </row>
    <row r="31" spans="1:27" x14ac:dyDescent="0.25">
      <c r="A31" s="215" t="s">
        <v>259</v>
      </c>
      <c r="B31" s="219">
        <f>+C31/C26</f>
        <v>9.2532528142469164E-2</v>
      </c>
      <c r="C31" s="220">
        <f>C27-C28</f>
        <v>289475.8</v>
      </c>
      <c r="D31" s="220"/>
    </row>
    <row r="32" spans="1:27" x14ac:dyDescent="0.25">
      <c r="A32" s="215" t="s">
        <v>226</v>
      </c>
      <c r="B32" s="219">
        <f>C32/C26</f>
        <v>5.666111800522345E-2</v>
      </c>
      <c r="C32" s="220">
        <f>B95</f>
        <v>177256.82841176487</v>
      </c>
      <c r="D32" s="220"/>
    </row>
    <row r="33" spans="1:4" hidden="1" x14ac:dyDescent="0.25">
      <c r="A33" t="s">
        <v>227</v>
      </c>
    </row>
    <row r="34" spans="1:4" hidden="1" x14ac:dyDescent="0.25">
      <c r="A34" t="s">
        <v>222</v>
      </c>
      <c r="B34">
        <v>800000</v>
      </c>
      <c r="C34">
        <f>+((B34*12%)/12)*5</f>
        <v>40000</v>
      </c>
    </row>
    <row r="35" spans="1:4" hidden="1" x14ac:dyDescent="0.25">
      <c r="A35" t="s">
        <v>228</v>
      </c>
      <c r="B35">
        <v>10000</v>
      </c>
      <c r="C35">
        <v>50000</v>
      </c>
    </row>
    <row r="36" spans="1:4" hidden="1" x14ac:dyDescent="0.25">
      <c r="C36">
        <f>SUM(C34:C35)</f>
        <v>90000</v>
      </c>
    </row>
    <row r="37" spans="1:4" hidden="1" x14ac:dyDescent="0.25"/>
    <row r="39" spans="1:4" x14ac:dyDescent="0.25">
      <c r="A39" s="222" t="s">
        <v>238</v>
      </c>
      <c r="B39" s="222"/>
      <c r="C39" s="222" t="s">
        <v>202</v>
      </c>
      <c r="D39" s="222"/>
    </row>
    <row r="40" spans="1:4" x14ac:dyDescent="0.25">
      <c r="A40" t="s">
        <v>239</v>
      </c>
      <c r="B40" s="6">
        <v>0.3</v>
      </c>
      <c r="C40">
        <f>+C12*B40</f>
        <v>828000</v>
      </c>
    </row>
    <row r="41" spans="1:4" x14ac:dyDescent="0.25">
      <c r="A41" t="s">
        <v>240</v>
      </c>
      <c r="C41" s="4">
        <f>C13</f>
        <v>165600</v>
      </c>
      <c r="D41" s="4"/>
    </row>
    <row r="42" spans="1:4" x14ac:dyDescent="0.25">
      <c r="A42" t="s">
        <v>56</v>
      </c>
      <c r="C42" s="4">
        <f>C23</f>
        <v>43000</v>
      </c>
      <c r="D42" s="4"/>
    </row>
    <row r="43" spans="1:4" x14ac:dyDescent="0.25">
      <c r="A43" t="s">
        <v>241</v>
      </c>
      <c r="C43" s="4">
        <f>C16</f>
        <v>22251.999999999996</v>
      </c>
      <c r="D43" s="4"/>
    </row>
    <row r="44" spans="1:4" x14ac:dyDescent="0.25">
      <c r="A44" t="s">
        <v>215</v>
      </c>
      <c r="C44" s="4">
        <f>C19</f>
        <v>25000</v>
      </c>
      <c r="D44" s="4"/>
    </row>
    <row r="45" spans="1:4" x14ac:dyDescent="0.25">
      <c r="A45" t="s">
        <v>242</v>
      </c>
      <c r="C45" s="4">
        <f>C15</f>
        <v>13000</v>
      </c>
      <c r="D45" s="4"/>
    </row>
    <row r="46" spans="1:4" x14ac:dyDescent="0.25">
      <c r="A46" t="s">
        <v>51</v>
      </c>
      <c r="C46" s="4">
        <v>40000</v>
      </c>
      <c r="D46" s="4"/>
    </row>
    <row r="47" spans="1:4" x14ac:dyDescent="0.25">
      <c r="A47" t="s">
        <v>347</v>
      </c>
      <c r="C47" s="4">
        <f>C16</f>
        <v>22251.999999999996</v>
      </c>
      <c r="D47" s="4"/>
    </row>
    <row r="48" spans="1:4" x14ac:dyDescent="0.25">
      <c r="A48" s="222" t="s">
        <v>243</v>
      </c>
      <c r="B48" s="222"/>
      <c r="C48" s="222">
        <f>SUM(C40:C47)</f>
        <v>1159104</v>
      </c>
      <c r="D48" s="222"/>
    </row>
    <row r="50" spans="1:8" x14ac:dyDescent="0.25">
      <c r="B50" t="s">
        <v>229</v>
      </c>
      <c r="C50" t="s">
        <v>199</v>
      </c>
      <c r="D50" t="s">
        <v>346</v>
      </c>
      <c r="E50" t="s">
        <v>232</v>
      </c>
      <c r="F50" t="s">
        <v>233</v>
      </c>
    </row>
    <row r="51" spans="1:8" x14ac:dyDescent="0.25">
      <c r="A51" t="s">
        <v>12</v>
      </c>
      <c r="B51" s="5">
        <f>H4</f>
        <v>200000</v>
      </c>
      <c r="C51" s="5"/>
      <c r="D51" s="88">
        <f>+((B51/850000)*0.45)*100%</f>
        <v>0.10588235294117647</v>
      </c>
      <c r="E51" s="4">
        <f>B51*$C$92</f>
        <v>36423.79431764708</v>
      </c>
      <c r="F51" s="7"/>
    </row>
    <row r="52" spans="1:8" x14ac:dyDescent="0.25">
      <c r="A52" t="s">
        <v>11</v>
      </c>
      <c r="B52" s="7">
        <v>600000</v>
      </c>
      <c r="C52" s="7"/>
      <c r="D52" s="88">
        <v>0.29499999999999998</v>
      </c>
      <c r="E52" s="4">
        <f>B52*$C$92</f>
        <v>109271.38295294123</v>
      </c>
      <c r="F52" s="7">
        <f>+(C52*D55/12)*5</f>
        <v>0</v>
      </c>
      <c r="G52" s="7"/>
      <c r="H52" s="11"/>
    </row>
    <row r="53" spans="1:8" x14ac:dyDescent="0.25">
      <c r="A53" t="s">
        <v>234</v>
      </c>
      <c r="B53">
        <v>200000</v>
      </c>
      <c r="D53" s="88">
        <f>+((B53/850000)*0.45)*100%</f>
        <v>0.10588235294117647</v>
      </c>
      <c r="E53" s="4">
        <f>B53*$C$92</f>
        <v>36423.79431764708</v>
      </c>
      <c r="G53" s="7"/>
      <c r="H53" s="11"/>
    </row>
    <row r="54" spans="1:8" x14ac:dyDescent="0.25">
      <c r="D54" s="11">
        <f>+((B54/850000)*0.45)*100%</f>
        <v>0</v>
      </c>
      <c r="E54" s="11"/>
      <c r="G54" s="7"/>
      <c r="H54" s="11"/>
    </row>
    <row r="55" spans="1:8" x14ac:dyDescent="0.25">
      <c r="D55" s="11"/>
    </row>
    <row r="56" spans="1:8" x14ac:dyDescent="0.25">
      <c r="D56" s="11"/>
    </row>
    <row r="57" spans="1:8" x14ac:dyDescent="0.25">
      <c r="A57" t="s">
        <v>236</v>
      </c>
      <c r="C57">
        <f>+H13</f>
        <v>150000</v>
      </c>
      <c r="D57" s="6">
        <v>0.15</v>
      </c>
      <c r="F57">
        <f>(C57*D57/12)*5</f>
        <v>9375</v>
      </c>
    </row>
    <row r="58" spans="1:8" x14ac:dyDescent="0.25">
      <c r="D58" s="6"/>
      <c r="E58" s="6"/>
    </row>
    <row r="59" spans="1:8" x14ac:dyDescent="0.25">
      <c r="A59" t="s">
        <v>89</v>
      </c>
      <c r="B59" s="7">
        <f>SUM(B51:B57)</f>
        <v>1000000</v>
      </c>
      <c r="C59" s="7">
        <f>SUM(C51:C57)</f>
        <v>150000</v>
      </c>
      <c r="D59" s="14">
        <f>SUM(D51:D54)</f>
        <v>0.50676470588235289</v>
      </c>
      <c r="E59" s="4">
        <f>SUM(E51:E58)</f>
        <v>182118.97158823541</v>
      </c>
      <c r="F59" s="7">
        <f>SUM(F52:F58)</f>
        <v>9375</v>
      </c>
    </row>
    <row r="60" spans="1:8" x14ac:dyDescent="0.25">
      <c r="A60" t="s">
        <v>216</v>
      </c>
      <c r="B60" s="7">
        <f>+H19</f>
        <v>1931999.9999999998</v>
      </c>
      <c r="C60" s="7"/>
      <c r="F60" s="5"/>
    </row>
    <row r="61" spans="1:8" x14ac:dyDescent="0.25">
      <c r="A61" t="s">
        <v>89</v>
      </c>
      <c r="B61" s="7">
        <f>+B59+B60+C59</f>
        <v>3082000</v>
      </c>
      <c r="C61" s="7"/>
      <c r="D61" s="221"/>
      <c r="E61" s="221"/>
      <c r="F61" s="4"/>
    </row>
    <row r="62" spans="1:8" x14ac:dyDescent="0.25">
      <c r="A62" t="s">
        <v>237</v>
      </c>
      <c r="B62" s="7">
        <f>B61-(E27+C48)</f>
        <v>-9104</v>
      </c>
      <c r="C62" s="7"/>
    </row>
    <row r="67" spans="1:3" x14ac:dyDescent="0.25">
      <c r="A67" t="s">
        <v>87</v>
      </c>
    </row>
    <row r="68" spans="1:3" x14ac:dyDescent="0.25">
      <c r="A68" t="s">
        <v>244</v>
      </c>
      <c r="B68" s="5">
        <f>C6</f>
        <v>1770000</v>
      </c>
    </row>
    <row r="69" spans="1:3" x14ac:dyDescent="0.25">
      <c r="A69" t="s">
        <v>245</v>
      </c>
      <c r="B69" s="163">
        <f>-B68*1.54%</f>
        <v>-27258</v>
      </c>
      <c r="C69" t="s">
        <v>386</v>
      </c>
    </row>
    <row r="70" spans="1:3" x14ac:dyDescent="0.25">
      <c r="A70" t="s">
        <v>246</v>
      </c>
      <c r="B70" s="7"/>
      <c r="C70" t="s">
        <v>385</v>
      </c>
    </row>
    <row r="71" spans="1:3" x14ac:dyDescent="0.25">
      <c r="A71" t="s">
        <v>192</v>
      </c>
      <c r="B71">
        <v>-5000</v>
      </c>
      <c r="C71" t="s">
        <v>386</v>
      </c>
    </row>
    <row r="72" spans="1:3" x14ac:dyDescent="0.25">
      <c r="A72" t="s">
        <v>394</v>
      </c>
      <c r="B72" s="7">
        <f>-C59</f>
        <v>-150000</v>
      </c>
    </row>
    <row r="73" spans="1:3" x14ac:dyDescent="0.25">
      <c r="A73" t="s">
        <v>348</v>
      </c>
      <c r="B73" s="5">
        <f>SUM(B68:B72)</f>
        <v>1587742</v>
      </c>
    </row>
    <row r="74" spans="1:3" x14ac:dyDescent="0.25">
      <c r="A74" t="s">
        <v>349</v>
      </c>
      <c r="B74" s="7">
        <f>E27-B73</f>
        <v>344257.99999999977</v>
      </c>
    </row>
    <row r="77" spans="1:3" x14ac:dyDescent="0.25">
      <c r="B77" s="7"/>
    </row>
    <row r="78" spans="1:3" x14ac:dyDescent="0.25">
      <c r="A78" t="s">
        <v>350</v>
      </c>
      <c r="B78" s="7">
        <f>B59</f>
        <v>1000000</v>
      </c>
    </row>
    <row r="79" spans="1:3" x14ac:dyDescent="0.25">
      <c r="A79" t="s">
        <v>250</v>
      </c>
      <c r="B79" s="7">
        <f>SUM(B77:B78)+B74</f>
        <v>1344257.9999999998</v>
      </c>
    </row>
    <row r="81" spans="1:4" x14ac:dyDescent="0.25">
      <c r="A81" t="s">
        <v>88</v>
      </c>
      <c r="B81" t="s">
        <v>353</v>
      </c>
    </row>
    <row r="82" spans="1:4" x14ac:dyDescent="0.25">
      <c r="A82" t="s">
        <v>251</v>
      </c>
      <c r="B82" s="5">
        <v>1775000</v>
      </c>
      <c r="D82" s="7"/>
    </row>
    <row r="83" spans="1:4" x14ac:dyDescent="0.25">
      <c r="A83" t="s">
        <v>252</v>
      </c>
      <c r="B83" s="7">
        <f>-B82*1.54%</f>
        <v>-27335</v>
      </c>
      <c r="D83" s="7"/>
    </row>
    <row r="84" spans="1:4" x14ac:dyDescent="0.25">
      <c r="A84" t="s">
        <v>253</v>
      </c>
      <c r="B84" s="7"/>
      <c r="D84" s="7"/>
    </row>
    <row r="85" spans="1:4" x14ac:dyDescent="0.25">
      <c r="A85" t="s">
        <v>192</v>
      </c>
      <c r="B85">
        <v>-5000</v>
      </c>
      <c r="D85" s="7"/>
    </row>
    <row r="86" spans="1:4" x14ac:dyDescent="0.25">
      <c r="A86" t="s">
        <v>254</v>
      </c>
      <c r="B86" s="7">
        <f>-B74</f>
        <v>-344257.99999999977</v>
      </c>
      <c r="D86" s="7"/>
    </row>
    <row r="87" spans="1:4" ht="30" x14ac:dyDescent="0.25">
      <c r="A87" s="151" t="s">
        <v>352</v>
      </c>
      <c r="B87" s="221">
        <f>-F59-L19</f>
        <v>-39031.199999999997</v>
      </c>
      <c r="D87" s="7"/>
    </row>
    <row r="88" spans="1:4" x14ac:dyDescent="0.25">
      <c r="A88" t="s">
        <v>104</v>
      </c>
      <c r="B88" s="7">
        <f>SUM(B82:B87)</f>
        <v>1359375.8000000003</v>
      </c>
      <c r="D88" s="7"/>
    </row>
    <row r="90" spans="1:4" x14ac:dyDescent="0.25">
      <c r="A90" t="s">
        <v>395</v>
      </c>
      <c r="B90" s="7">
        <f>B88-B78</f>
        <v>359375.80000000028</v>
      </c>
      <c r="C90" s="11"/>
      <c r="D90" s="7"/>
    </row>
    <row r="91" spans="1:4" x14ac:dyDescent="0.25">
      <c r="B91" s="7"/>
      <c r="C91" s="11"/>
    </row>
    <row r="92" spans="1:4" x14ac:dyDescent="0.25">
      <c r="A92" t="s">
        <v>351</v>
      </c>
      <c r="B92" s="7">
        <f>B90*D59</f>
        <v>182118.97158823541</v>
      </c>
      <c r="C92" s="11">
        <f>B92/B59</f>
        <v>0.1821189715882354</v>
      </c>
    </row>
    <row r="95" spans="1:4" x14ac:dyDescent="0.25">
      <c r="A95" t="s">
        <v>288</v>
      </c>
      <c r="B95" s="7">
        <f>B90-B92</f>
        <v>177256.82841176487</v>
      </c>
      <c r="D95" s="7"/>
    </row>
    <row r="96" spans="1:4" x14ac:dyDescent="0.25">
      <c r="B96" s="7"/>
    </row>
  </sheetData>
  <mergeCells count="1">
    <mergeCell ref="A1:C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4F1AE-AB5B-4DFB-80B3-ADE19741551F}">
  <dimension ref="A1:E35"/>
  <sheetViews>
    <sheetView workbookViewId="0">
      <selection activeCell="L21" sqref="L21"/>
    </sheetView>
  </sheetViews>
  <sheetFormatPr defaultRowHeight="15" x14ac:dyDescent="0.25"/>
  <cols>
    <col min="1" max="1" width="28.7109375" customWidth="1"/>
    <col min="2" max="2" width="8.7109375" customWidth="1"/>
    <col min="3" max="3" width="16.5703125" customWidth="1"/>
    <col min="4" max="4" width="13.28515625" bestFit="1" customWidth="1"/>
    <col min="5" max="5" width="14" customWidth="1"/>
  </cols>
  <sheetData>
    <row r="1" spans="1:5" ht="15.75" thickBot="1" x14ac:dyDescent="0.3">
      <c r="A1" s="337" t="s">
        <v>510</v>
      </c>
      <c r="B1" s="338"/>
      <c r="C1" s="339"/>
      <c r="D1" s="323">
        <v>46111</v>
      </c>
    </row>
    <row r="2" spans="1:5" x14ac:dyDescent="0.25">
      <c r="A2" s="118" t="s">
        <v>38</v>
      </c>
      <c r="B2" s="119" t="s">
        <v>39</v>
      </c>
      <c r="C2" s="330" t="s">
        <v>502</v>
      </c>
      <c r="D2" s="324" t="s">
        <v>503</v>
      </c>
      <c r="E2" s="8" t="s">
        <v>505</v>
      </c>
    </row>
    <row r="3" spans="1:5" ht="15.75" thickBot="1" x14ac:dyDescent="0.3">
      <c r="A3" s="121" t="s">
        <v>40</v>
      </c>
      <c r="B3" s="122" t="s">
        <v>41</v>
      </c>
      <c r="C3" s="331" t="e">
        <f>+C2*9.29*C5</f>
        <v>#VALUE!</v>
      </c>
      <c r="D3" s="327"/>
      <c r="E3" s="8"/>
    </row>
    <row r="4" spans="1:5" ht="15.75" x14ac:dyDescent="0.25">
      <c r="A4" s="118" t="s">
        <v>42</v>
      </c>
      <c r="B4" s="119"/>
      <c r="C4" s="332">
        <v>1295</v>
      </c>
      <c r="D4" s="327"/>
      <c r="E4" s="8"/>
    </row>
    <row r="5" spans="1:5" x14ac:dyDescent="0.25">
      <c r="A5" s="118" t="s">
        <v>43</v>
      </c>
      <c r="B5" s="119"/>
      <c r="C5" s="333">
        <v>2</v>
      </c>
      <c r="D5" s="327"/>
      <c r="E5" s="8"/>
    </row>
    <row r="6" spans="1:5" x14ac:dyDescent="0.25">
      <c r="A6" s="118" t="s">
        <v>511</v>
      </c>
      <c r="B6" s="119"/>
      <c r="C6" s="334">
        <v>1765000</v>
      </c>
      <c r="D6" s="329">
        <v>1765000</v>
      </c>
      <c r="E6" s="8"/>
    </row>
    <row r="7" spans="1:5" x14ac:dyDescent="0.25">
      <c r="A7" s="118" t="s">
        <v>512</v>
      </c>
      <c r="B7" s="119"/>
      <c r="C7" s="334">
        <v>1775000</v>
      </c>
      <c r="D7" s="329">
        <v>1725000</v>
      </c>
      <c r="E7" s="8"/>
    </row>
    <row r="8" spans="1:5" x14ac:dyDescent="0.25">
      <c r="A8" s="118" t="s">
        <v>45</v>
      </c>
      <c r="B8" s="119"/>
      <c r="C8" s="334">
        <f>+C7+C6</f>
        <v>3540000</v>
      </c>
      <c r="D8" s="329">
        <f>+D7+D6</f>
        <v>3490000</v>
      </c>
      <c r="E8" s="8"/>
    </row>
    <row r="9" spans="1:5" x14ac:dyDescent="0.25">
      <c r="A9" s="118" t="s">
        <v>46</v>
      </c>
      <c r="B9" s="119"/>
      <c r="C9" s="334"/>
      <c r="D9" s="329"/>
      <c r="E9" s="8"/>
    </row>
    <row r="10" spans="1:5" x14ac:dyDescent="0.25">
      <c r="A10" s="129" t="s">
        <v>47</v>
      </c>
      <c r="B10" s="130">
        <f>C10/C10</f>
        <v>1</v>
      </c>
      <c r="C10" s="334">
        <f>+C8+C9</f>
        <v>3540000</v>
      </c>
      <c r="D10" s="329">
        <f>+D8</f>
        <v>3490000</v>
      </c>
      <c r="E10" s="328">
        <f>+D10-C10</f>
        <v>-50000</v>
      </c>
    </row>
    <row r="11" spans="1:5" x14ac:dyDescent="0.25">
      <c r="A11" s="132" t="s">
        <v>48</v>
      </c>
      <c r="B11" s="119"/>
      <c r="C11" s="334"/>
      <c r="D11" s="329"/>
      <c r="E11" s="3">
        <f t="shared" ref="E11:E31" si="0">+D11-C11</f>
        <v>0</v>
      </c>
    </row>
    <row r="12" spans="1:5" x14ac:dyDescent="0.25">
      <c r="A12" s="118" t="s">
        <v>49</v>
      </c>
      <c r="B12" s="133">
        <f>+C12/C10</f>
        <v>0.77966101694915257</v>
      </c>
      <c r="C12" s="334">
        <v>2760000</v>
      </c>
      <c r="D12" s="329">
        <f>C12</f>
        <v>2760000</v>
      </c>
      <c r="E12" s="3">
        <f t="shared" si="0"/>
        <v>0</v>
      </c>
    </row>
    <row r="13" spans="1:5" x14ac:dyDescent="0.25">
      <c r="A13" s="118" t="s">
        <v>50</v>
      </c>
      <c r="B13" s="135">
        <v>0.06</v>
      </c>
      <c r="C13" s="334">
        <f>(C12+C11)*B13</f>
        <v>165600</v>
      </c>
      <c r="D13" s="329">
        <f>159400+3897.63</f>
        <v>163297.63</v>
      </c>
      <c r="E13" s="3">
        <f t="shared" si="0"/>
        <v>-2302.3699999999953</v>
      </c>
    </row>
    <row r="14" spans="1:5" x14ac:dyDescent="0.25">
      <c r="A14" s="118" t="s">
        <v>51</v>
      </c>
      <c r="B14" s="136"/>
      <c r="C14" s="334">
        <v>40000</v>
      </c>
      <c r="D14" s="329">
        <v>40000</v>
      </c>
      <c r="E14" s="3">
        <f t="shared" si="0"/>
        <v>0</v>
      </c>
    </row>
    <row r="15" spans="1:5" x14ac:dyDescent="0.25">
      <c r="A15" s="118" t="s">
        <v>211</v>
      </c>
      <c r="B15" s="119"/>
      <c r="C15" s="334">
        <v>15000</v>
      </c>
      <c r="D15" s="329">
        <f>1850+5329.36</f>
        <v>7179.36</v>
      </c>
      <c r="E15" s="3">
        <f t="shared" si="0"/>
        <v>-7820.64</v>
      </c>
    </row>
    <row r="16" spans="1:5" x14ac:dyDescent="0.25">
      <c r="A16" s="118" t="s">
        <v>218</v>
      </c>
      <c r="B16" s="119"/>
      <c r="C16" s="334">
        <f>'Senior Funding Model'!D20</f>
        <v>22251.999999999996</v>
      </c>
      <c r="D16" s="329">
        <f>7728+11726</f>
        <v>19454</v>
      </c>
      <c r="E16" s="3">
        <f t="shared" si="0"/>
        <v>-2797.9999999999964</v>
      </c>
    </row>
    <row r="17" spans="1:5" x14ac:dyDescent="0.25">
      <c r="A17" s="129" t="s">
        <v>53</v>
      </c>
      <c r="B17" s="130">
        <f>C17/C10</f>
        <v>0.84826327683615821</v>
      </c>
      <c r="C17" s="334">
        <f>SUM(C11:C16)</f>
        <v>3002852</v>
      </c>
      <c r="D17" s="329">
        <f>SUM(D12:D16)</f>
        <v>2989930.9899999998</v>
      </c>
      <c r="E17" s="3">
        <f t="shared" si="0"/>
        <v>-12921.010000000242</v>
      </c>
    </row>
    <row r="18" spans="1:5" x14ac:dyDescent="0.25">
      <c r="A18" s="137" t="s">
        <v>52</v>
      </c>
      <c r="B18" s="138">
        <v>0.33</v>
      </c>
      <c r="C18" s="335">
        <v>0</v>
      </c>
      <c r="D18" s="329">
        <v>7088</v>
      </c>
      <c r="E18" s="3">
        <f t="shared" si="0"/>
        <v>7088</v>
      </c>
    </row>
    <row r="19" spans="1:5" x14ac:dyDescent="0.25">
      <c r="A19" s="118" t="s">
        <v>215</v>
      </c>
      <c r="B19" s="326">
        <v>0.01</v>
      </c>
      <c r="C19" s="334">
        <v>30000</v>
      </c>
      <c r="D19" s="329">
        <f>729.8+1259.5</f>
        <v>1989.3</v>
      </c>
      <c r="E19" s="3">
        <f t="shared" si="0"/>
        <v>-28010.7</v>
      </c>
    </row>
    <row r="20" spans="1:5" x14ac:dyDescent="0.25">
      <c r="A20" s="118" t="s">
        <v>504</v>
      </c>
      <c r="B20" s="326">
        <v>8.0000000000000002E-3</v>
      </c>
      <c r="C20" s="334">
        <v>0</v>
      </c>
      <c r="D20" s="329">
        <v>1540</v>
      </c>
      <c r="E20" s="3">
        <f t="shared" si="0"/>
        <v>1540</v>
      </c>
    </row>
    <row r="21" spans="1:5" x14ac:dyDescent="0.25">
      <c r="A21" s="118" t="s">
        <v>54</v>
      </c>
      <c r="B21" s="326">
        <v>1.54E-2</v>
      </c>
      <c r="C21" s="334">
        <v>67260</v>
      </c>
      <c r="D21" s="329">
        <v>873</v>
      </c>
      <c r="E21" s="3">
        <f t="shared" si="0"/>
        <v>-66387</v>
      </c>
    </row>
    <row r="22" spans="1:5" x14ac:dyDescent="0.25">
      <c r="A22" s="118" t="s">
        <v>55</v>
      </c>
      <c r="B22" s="326"/>
      <c r="C22" s="334">
        <v>10000</v>
      </c>
      <c r="D22" s="329">
        <f>5904.14+43.65+145.01+935+841.46+5180</f>
        <v>13049.26</v>
      </c>
      <c r="E22" s="3">
        <f t="shared" si="0"/>
        <v>3049.26</v>
      </c>
    </row>
    <row r="23" spans="1:5" x14ac:dyDescent="0.25">
      <c r="A23" s="119" t="s">
        <v>198</v>
      </c>
      <c r="B23" s="135"/>
      <c r="C23" s="336"/>
      <c r="D23" s="329">
        <f>4400+124.68</f>
        <v>4524.68</v>
      </c>
      <c r="E23" s="3">
        <f t="shared" si="0"/>
        <v>4524.68</v>
      </c>
    </row>
    <row r="24" spans="1:5" x14ac:dyDescent="0.25">
      <c r="A24" s="119" t="s">
        <v>507</v>
      </c>
      <c r="B24" s="135"/>
      <c r="C24" s="336"/>
      <c r="D24" s="329">
        <v>276.70999999999998</v>
      </c>
      <c r="E24" s="3">
        <f t="shared" si="0"/>
        <v>276.70999999999998</v>
      </c>
    </row>
    <row r="25" spans="1:5" x14ac:dyDescent="0.25">
      <c r="A25" s="119" t="s">
        <v>506</v>
      </c>
      <c r="B25" s="135"/>
      <c r="C25" s="336"/>
      <c r="D25" s="329">
        <v>35</v>
      </c>
      <c r="E25" s="3">
        <f t="shared" si="0"/>
        <v>35</v>
      </c>
    </row>
    <row r="26" spans="1:5" x14ac:dyDescent="0.25">
      <c r="A26" s="119" t="s">
        <v>56</v>
      </c>
      <c r="B26" s="135"/>
      <c r="C26" s="336">
        <v>80000</v>
      </c>
      <c r="D26" s="329">
        <v>40000</v>
      </c>
      <c r="E26" s="3">
        <f t="shared" si="0"/>
        <v>-40000</v>
      </c>
    </row>
    <row r="27" spans="1:5" x14ac:dyDescent="0.25">
      <c r="A27" s="119" t="s">
        <v>57</v>
      </c>
      <c r="B27" s="135"/>
      <c r="C27" s="336">
        <v>10000</v>
      </c>
      <c r="D27" s="329"/>
      <c r="E27" s="3">
        <f t="shared" si="0"/>
        <v>-10000</v>
      </c>
    </row>
    <row r="28" spans="1:5" x14ac:dyDescent="0.25">
      <c r="A28" s="129" t="s">
        <v>58</v>
      </c>
      <c r="B28" s="143">
        <f>C28/C10</f>
        <v>5.5723163841807907E-2</v>
      </c>
      <c r="C28" s="334">
        <f>SUM(C18:C27)</f>
        <v>197260</v>
      </c>
      <c r="D28" s="329">
        <f>SUM(D18:D27)</f>
        <v>69375.95</v>
      </c>
      <c r="E28" s="3">
        <f t="shared" si="0"/>
        <v>-127884.05</v>
      </c>
    </row>
    <row r="29" spans="1:5" ht="21.75" customHeight="1" x14ac:dyDescent="0.25">
      <c r="A29" s="129" t="s">
        <v>59</v>
      </c>
      <c r="B29" s="144"/>
      <c r="C29" s="334">
        <f>C17+C28</f>
        <v>3200112</v>
      </c>
      <c r="D29" s="145">
        <f>D17+D28</f>
        <v>3059306.94</v>
      </c>
      <c r="E29" s="3">
        <f t="shared" si="0"/>
        <v>-140805.06000000006</v>
      </c>
    </row>
    <row r="30" spans="1:5" x14ac:dyDescent="0.25">
      <c r="A30" s="146" t="s">
        <v>60</v>
      </c>
      <c r="B30" s="147">
        <f>+C30/C29</f>
        <v>0.10621128260510881</v>
      </c>
      <c r="C30" s="148">
        <f>+C10-C29</f>
        <v>339888</v>
      </c>
      <c r="D30" s="148">
        <f>+D10-D29</f>
        <v>430693.06000000006</v>
      </c>
      <c r="E30" s="3">
        <f t="shared" si="0"/>
        <v>90805.060000000056</v>
      </c>
    </row>
    <row r="31" spans="1:5" x14ac:dyDescent="0.25">
      <c r="A31" s="216" t="s">
        <v>508</v>
      </c>
      <c r="B31" s="217">
        <f>+C31/C8</f>
        <v>1.2711864406779662E-2</v>
      </c>
      <c r="C31" s="218">
        <v>45000</v>
      </c>
      <c r="D31">
        <v>55000</v>
      </c>
      <c r="E31" s="3">
        <f t="shared" si="0"/>
        <v>10000</v>
      </c>
    </row>
    <row r="34" spans="1:5" x14ac:dyDescent="0.25">
      <c r="A34" s="324" t="s">
        <v>509</v>
      </c>
      <c r="B34" s="324"/>
      <c r="C34" s="325">
        <f>C30-C31</f>
        <v>294888</v>
      </c>
      <c r="D34" s="325">
        <f>+D30-D31</f>
        <v>375693.06000000006</v>
      </c>
      <c r="E34" s="325">
        <f t="shared" ref="E34" si="1">+D34-C34</f>
        <v>80805.060000000056</v>
      </c>
    </row>
    <row r="35" spans="1:5" x14ac:dyDescent="0.25">
      <c r="C35" s="11">
        <f>+C34/C29</f>
        <v>9.2149274775382858E-2</v>
      </c>
      <c r="D35" s="11">
        <f>+D34/D29</f>
        <v>0.12280332355275214</v>
      </c>
      <c r="E35" s="88">
        <f>E34/D29</f>
        <v>2.6412864607825215E-2</v>
      </c>
    </row>
  </sheetData>
  <mergeCells count="1">
    <mergeCell ref="A1:C1"/>
  </mergeCells>
  <conditionalFormatting sqref="E3:E31">
    <cfRule type="cellIs" dxfId="4" priority="5" operator="lessThan">
      <formula>0</formula>
    </cfRule>
  </conditionalFormatting>
  <conditionalFormatting sqref="E3:E33">
    <cfRule type="cellIs" dxfId="3" priority="4" operator="greaterThan">
      <formula>0</formula>
    </cfRule>
  </conditionalFormatting>
  <conditionalFormatting sqref="E10">
    <cfRule type="cellIs" dxfId="2" priority="2" operator="lessThan">
      <formula>0</formula>
    </cfRule>
    <cfRule type="cellIs" dxfId="1" priority="3" operator="lessThan">
      <formula>-50000</formula>
    </cfRule>
  </conditionalFormatting>
  <conditionalFormatting sqref="E30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02E1-B3DE-45EB-8431-31C1DD254B34}">
  <dimension ref="A1:H38"/>
  <sheetViews>
    <sheetView workbookViewId="0">
      <selection activeCell="F29" sqref="F28:F29"/>
    </sheetView>
  </sheetViews>
  <sheetFormatPr defaultRowHeight="15" x14ac:dyDescent="0.25"/>
  <cols>
    <col min="1" max="1" width="31.7109375" customWidth="1"/>
    <col min="2" max="2" width="13" customWidth="1"/>
    <col min="3" max="3" width="14.5703125" customWidth="1"/>
    <col min="4" max="4" width="18" customWidth="1"/>
    <col min="5" max="5" width="12.7109375" customWidth="1"/>
    <col min="6" max="6" width="11.5703125" bestFit="1" customWidth="1"/>
    <col min="7" max="7" width="16.42578125" customWidth="1"/>
  </cols>
  <sheetData>
    <row r="1" spans="1:4" ht="15.75" thickBot="1" x14ac:dyDescent="0.3">
      <c r="A1" s="337" t="s">
        <v>37</v>
      </c>
      <c r="B1" s="338"/>
      <c r="C1" s="339"/>
    </row>
    <row r="2" spans="1:4" x14ac:dyDescent="0.25">
      <c r="A2" s="118" t="s">
        <v>38</v>
      </c>
      <c r="B2" s="119" t="s">
        <v>39</v>
      </c>
      <c r="C2" s="120">
        <v>42</v>
      </c>
    </row>
    <row r="3" spans="1:4" ht="15.75" thickBot="1" x14ac:dyDescent="0.3">
      <c r="A3" s="121" t="s">
        <v>40</v>
      </c>
      <c r="B3" s="122" t="s">
        <v>41</v>
      </c>
      <c r="C3" s="123">
        <f>C2*9.29</f>
        <v>390.17999999999995</v>
      </c>
    </row>
    <row r="4" spans="1:4" ht="15.75" x14ac:dyDescent="0.25">
      <c r="A4" s="118" t="s">
        <v>42</v>
      </c>
      <c r="B4" s="119"/>
      <c r="C4" s="124">
        <v>1295</v>
      </c>
      <c r="D4" s="200">
        <f>C12/C4</f>
        <v>2131.2741312741314</v>
      </c>
    </row>
    <row r="5" spans="1:4" x14ac:dyDescent="0.25">
      <c r="A5" s="118" t="s">
        <v>43</v>
      </c>
      <c r="B5" s="119"/>
      <c r="C5" s="125">
        <v>1</v>
      </c>
      <c r="D5" t="s">
        <v>207</v>
      </c>
    </row>
    <row r="6" spans="1:4" x14ac:dyDescent="0.25">
      <c r="A6" s="118" t="s">
        <v>396</v>
      </c>
      <c r="B6" s="119"/>
      <c r="C6" s="126">
        <v>1765000</v>
      </c>
      <c r="D6" s="5">
        <f>C8/C4</f>
        <v>4065.6370656370655</v>
      </c>
    </row>
    <row r="7" spans="1:4" x14ac:dyDescent="0.25">
      <c r="A7" s="118" t="s">
        <v>397</v>
      </c>
      <c r="B7" s="119"/>
      <c r="C7" s="127">
        <v>3500000</v>
      </c>
    </row>
    <row r="8" spans="1:4" x14ac:dyDescent="0.25">
      <c r="A8" s="118" t="s">
        <v>45</v>
      </c>
      <c r="B8" s="119"/>
      <c r="C8" s="128">
        <f>C7+C6</f>
        <v>5265000</v>
      </c>
      <c r="D8" s="4"/>
    </row>
    <row r="9" spans="1:4" x14ac:dyDescent="0.25">
      <c r="A9" s="118" t="s">
        <v>46</v>
      </c>
      <c r="B9" s="119"/>
      <c r="C9" s="128">
        <f>-(C7-(C12/2))*10%</f>
        <v>-212000</v>
      </c>
    </row>
    <row r="10" spans="1:4" x14ac:dyDescent="0.25">
      <c r="A10" s="129" t="s">
        <v>47</v>
      </c>
      <c r="B10" s="130">
        <f>C10/C10</f>
        <v>1</v>
      </c>
      <c r="C10" s="131">
        <f>+C8+C9</f>
        <v>5053000</v>
      </c>
    </row>
    <row r="11" spans="1:4" x14ac:dyDescent="0.25">
      <c r="A11" s="132" t="s">
        <v>48</v>
      </c>
      <c r="B11" s="119"/>
      <c r="C11" s="127"/>
    </row>
    <row r="12" spans="1:4" x14ac:dyDescent="0.25">
      <c r="A12" s="118" t="s">
        <v>49</v>
      </c>
      <c r="B12" s="133">
        <f>+C12/C10</f>
        <v>0.54621017217494561</v>
      </c>
      <c r="C12" s="134">
        <v>2760000</v>
      </c>
      <c r="D12" s="154"/>
    </row>
    <row r="13" spans="1:4" x14ac:dyDescent="0.25">
      <c r="A13" s="118" t="s">
        <v>50</v>
      </c>
      <c r="B13" s="135">
        <v>0.06</v>
      </c>
      <c r="C13" s="127">
        <f>C12*B13</f>
        <v>165600</v>
      </c>
    </row>
    <row r="14" spans="1:4" x14ac:dyDescent="0.25">
      <c r="A14" s="118" t="s">
        <v>398</v>
      </c>
      <c r="B14" s="136"/>
      <c r="C14" s="127">
        <v>40000</v>
      </c>
    </row>
    <row r="15" spans="1:4" x14ac:dyDescent="0.25">
      <c r="A15" s="118" t="s">
        <v>399</v>
      </c>
      <c r="B15" s="119"/>
      <c r="C15" s="127">
        <v>15000</v>
      </c>
    </row>
    <row r="16" spans="1:4" x14ac:dyDescent="0.25">
      <c r="A16" s="118" t="s">
        <v>400</v>
      </c>
      <c r="B16" s="119"/>
      <c r="C16" s="127">
        <v>30000</v>
      </c>
    </row>
    <row r="17" spans="1:8" x14ac:dyDescent="0.25">
      <c r="A17" s="129" t="s">
        <v>53</v>
      </c>
      <c r="B17" s="130">
        <f>C17/C10</f>
        <v>0.59580447259054026</v>
      </c>
      <c r="C17" s="131">
        <f>SUM(C12:C16)</f>
        <v>3010600</v>
      </c>
      <c r="D17" t="s">
        <v>401</v>
      </c>
      <c r="E17" t="s">
        <v>402</v>
      </c>
      <c r="F17" t="s">
        <v>403</v>
      </c>
    </row>
    <row r="18" spans="1:8" x14ac:dyDescent="0.25">
      <c r="A18" s="137" t="s">
        <v>404</v>
      </c>
      <c r="B18" s="138">
        <v>0.25</v>
      </c>
      <c r="C18" s="139">
        <f>+B18*C10</f>
        <v>1263250</v>
      </c>
      <c r="D18" s="4">
        <f>C18/C3</f>
        <v>3237.6082833564001</v>
      </c>
      <c r="E18" s="200">
        <f>D18*1.1</f>
        <v>3561.3691116920404</v>
      </c>
      <c r="F18" s="4">
        <f>C18/C5</f>
        <v>1263250</v>
      </c>
    </row>
    <row r="19" spans="1:8" x14ac:dyDescent="0.25">
      <c r="A19" s="118" t="s">
        <v>405</v>
      </c>
      <c r="B19" s="135">
        <v>6.0000000000000001E-3</v>
      </c>
      <c r="C19" s="134">
        <f>$C$10*B19</f>
        <v>30318</v>
      </c>
    </row>
    <row r="20" spans="1:8" x14ac:dyDescent="0.25">
      <c r="A20" s="118" t="s">
        <v>406</v>
      </c>
      <c r="B20" s="135">
        <v>6.0000000000000001E-3</v>
      </c>
      <c r="C20" s="134">
        <f>$C$10*B20</f>
        <v>30318</v>
      </c>
    </row>
    <row r="21" spans="1:8" x14ac:dyDescent="0.25">
      <c r="A21" s="118" t="s">
        <v>55</v>
      </c>
      <c r="B21" s="135">
        <v>5.0000000000000001E-3</v>
      </c>
      <c r="C21" s="134">
        <f>$C$10*B21</f>
        <v>25265</v>
      </c>
    </row>
    <row r="22" spans="1:8" x14ac:dyDescent="0.25">
      <c r="A22" s="137" t="s">
        <v>56</v>
      </c>
      <c r="B22" s="138"/>
      <c r="C22" s="142">
        <v>80000</v>
      </c>
    </row>
    <row r="23" spans="1:8" x14ac:dyDescent="0.25">
      <c r="A23" s="137" t="s">
        <v>407</v>
      </c>
      <c r="B23" s="138">
        <v>0.01</v>
      </c>
      <c r="C23" s="142">
        <f>$C$10*B23</f>
        <v>50530</v>
      </c>
    </row>
    <row r="24" spans="1:8" x14ac:dyDescent="0.25">
      <c r="A24" s="118" t="s">
        <v>215</v>
      </c>
      <c r="B24" s="119"/>
      <c r="C24" s="127">
        <v>25000</v>
      </c>
    </row>
    <row r="25" spans="1:8" x14ac:dyDescent="0.25">
      <c r="A25" s="129" t="s">
        <v>58</v>
      </c>
      <c r="B25" s="143">
        <f>C25/C10</f>
        <v>0.29777973481100334</v>
      </c>
      <c r="C25" s="131">
        <f>SUM(C18:C24)</f>
        <v>1504681</v>
      </c>
    </row>
    <row r="26" spans="1:8" x14ac:dyDescent="0.25">
      <c r="A26" s="129" t="s">
        <v>59</v>
      </c>
      <c r="B26" s="144"/>
      <c r="C26" s="145">
        <f>C17+C25</f>
        <v>4515281</v>
      </c>
      <c r="D26" s="278"/>
      <c r="E26" s="278"/>
      <c r="F26" s="278"/>
      <c r="G26" s="278"/>
      <c r="H26" s="176"/>
    </row>
    <row r="27" spans="1:8" x14ac:dyDescent="0.25">
      <c r="A27" s="118" t="s">
        <v>54</v>
      </c>
      <c r="B27" s="135">
        <v>1.7500000000000002E-2</v>
      </c>
      <c r="C27" s="279">
        <f>B27*C8</f>
        <v>92137.500000000015</v>
      </c>
      <c r="D27" s="176"/>
      <c r="E27" s="176"/>
      <c r="F27" s="176"/>
      <c r="G27" s="176"/>
      <c r="H27" s="176"/>
    </row>
    <row r="28" spans="1:8" x14ac:dyDescent="0.25">
      <c r="A28" s="146" t="s">
        <v>60</v>
      </c>
      <c r="B28" s="147">
        <f>+C28/C26</f>
        <v>9.8683005553807171E-2</v>
      </c>
      <c r="C28" s="148">
        <f>+C10-C26-C27</f>
        <v>445581.5</v>
      </c>
      <c r="D28" s="278"/>
      <c r="E28" s="278"/>
      <c r="F28" s="278"/>
      <c r="G28" s="278"/>
      <c r="H28" s="176"/>
    </row>
    <row r="29" spans="1:8" x14ac:dyDescent="0.25">
      <c r="A29" t="s">
        <v>408</v>
      </c>
      <c r="B29" s="280">
        <v>0</v>
      </c>
      <c r="C29" s="218">
        <f>$C$10*B29</f>
        <v>0</v>
      </c>
      <c r="D29" s="281"/>
      <c r="E29" s="282"/>
      <c r="F29" s="282"/>
      <c r="G29" s="283"/>
      <c r="H29" s="284"/>
    </row>
    <row r="30" spans="1:8" x14ac:dyDescent="0.25">
      <c r="D30" s="176"/>
      <c r="E30" s="176"/>
      <c r="F30" s="176"/>
      <c r="G30" s="176"/>
      <c r="H30" s="176"/>
    </row>
    <row r="33" spans="1:2" x14ac:dyDescent="0.25">
      <c r="A33" t="s">
        <v>409</v>
      </c>
      <c r="B33">
        <f>'2 x Land Sales@ 70LVR'!B82</f>
        <v>1775000</v>
      </c>
    </row>
    <row r="34" spans="1:2" x14ac:dyDescent="0.25">
      <c r="A34" t="s">
        <v>410</v>
      </c>
      <c r="B34" s="4">
        <f>-'2 x Land Sales@ 70LVR'!B86+('1 land + 1 build'!C19+'1 land + 1 build'!C20+'1 land + 1 build'!C24)</f>
        <v>429893.99999999977</v>
      </c>
    </row>
    <row r="35" spans="1:2" x14ac:dyDescent="0.25">
      <c r="A35" t="s">
        <v>411</v>
      </c>
      <c r="B35" s="4">
        <f>B33-B34</f>
        <v>1345106.0000000002</v>
      </c>
    </row>
    <row r="36" spans="1:2" x14ac:dyDescent="0.25">
      <c r="A36" t="s">
        <v>412</v>
      </c>
      <c r="B36" s="11">
        <f>B35/B33</f>
        <v>0.75780619718309872</v>
      </c>
    </row>
    <row r="37" spans="1:2" x14ac:dyDescent="0.25">
      <c r="A37" t="s">
        <v>413</v>
      </c>
      <c r="B37" s="5">
        <f>B33*80%</f>
        <v>1420000</v>
      </c>
    </row>
    <row r="38" spans="1:2" x14ac:dyDescent="0.25">
      <c r="A38" t="s">
        <v>149</v>
      </c>
      <c r="B38" s="180">
        <f>B37*6.5%*60%*1.5</f>
        <v>83070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A7A6-E20F-420D-9F30-124B1C39AB5B}">
  <dimension ref="A1:M39"/>
  <sheetViews>
    <sheetView topLeftCell="A21" workbookViewId="0">
      <selection activeCell="E11" sqref="E11"/>
    </sheetView>
  </sheetViews>
  <sheetFormatPr defaultRowHeight="15" x14ac:dyDescent="0.25"/>
  <cols>
    <col min="1" max="1" width="31.7109375" customWidth="1"/>
    <col min="2" max="2" width="13" customWidth="1"/>
    <col min="3" max="3" width="14.5703125" customWidth="1"/>
    <col min="4" max="4" width="18" customWidth="1"/>
    <col min="5" max="5" width="18.5703125" customWidth="1"/>
    <col min="6" max="6" width="19.85546875" customWidth="1"/>
    <col min="7" max="7" width="16.42578125" customWidth="1"/>
    <col min="9" max="9" width="12" customWidth="1"/>
    <col min="11" max="11" width="13.85546875" customWidth="1"/>
    <col min="13" max="13" width="14.42578125" bestFit="1" customWidth="1"/>
  </cols>
  <sheetData>
    <row r="1" spans="1:13" ht="15.75" thickBot="1" x14ac:dyDescent="0.3">
      <c r="A1" s="337" t="s">
        <v>37</v>
      </c>
      <c r="B1" s="338"/>
      <c r="C1" s="339"/>
    </row>
    <row r="2" spans="1:13" x14ac:dyDescent="0.25">
      <c r="A2" s="118" t="s">
        <v>38</v>
      </c>
      <c r="B2" s="119" t="s">
        <v>39</v>
      </c>
      <c r="C2" s="120">
        <v>42</v>
      </c>
    </row>
    <row r="3" spans="1:13" ht="15.75" thickBot="1" x14ac:dyDescent="0.3">
      <c r="A3" s="121" t="s">
        <v>40</v>
      </c>
      <c r="B3" s="122" t="s">
        <v>41</v>
      </c>
      <c r="C3" s="123">
        <f>+C2*9.29*C5</f>
        <v>780.3599999999999</v>
      </c>
    </row>
    <row r="4" spans="1:13" ht="15.75" x14ac:dyDescent="0.25">
      <c r="A4" s="118" t="s">
        <v>42</v>
      </c>
      <c r="B4" s="119"/>
      <c r="C4" s="124">
        <v>1295</v>
      </c>
      <c r="D4" s="200">
        <f>C12/C4</f>
        <v>2131.2741312741314</v>
      </c>
    </row>
    <row r="5" spans="1:13" x14ac:dyDescent="0.25">
      <c r="A5" s="118" t="s">
        <v>43</v>
      </c>
      <c r="B5" s="119"/>
      <c r="C5" s="125">
        <v>2</v>
      </c>
      <c r="D5" t="s">
        <v>207</v>
      </c>
      <c r="M5" s="150"/>
    </row>
    <row r="6" spans="1:13" x14ac:dyDescent="0.25">
      <c r="A6" s="118" t="s">
        <v>44</v>
      </c>
      <c r="B6" s="119"/>
      <c r="C6" s="126">
        <v>3500000</v>
      </c>
      <c r="D6" s="5">
        <f>C8/C4</f>
        <v>5405.405405405405</v>
      </c>
    </row>
    <row r="7" spans="1:13" x14ac:dyDescent="0.25">
      <c r="A7" s="118"/>
      <c r="B7" s="119"/>
      <c r="C7" s="127"/>
    </row>
    <row r="8" spans="1:13" x14ac:dyDescent="0.25">
      <c r="A8" s="118" t="s">
        <v>45</v>
      </c>
      <c r="B8" s="119"/>
      <c r="C8" s="128">
        <f>C6*C5+C7</f>
        <v>7000000</v>
      </c>
      <c r="D8" s="4"/>
    </row>
    <row r="9" spans="1:13" x14ac:dyDescent="0.25">
      <c r="A9" s="118" t="s">
        <v>46</v>
      </c>
      <c r="B9" s="119"/>
      <c r="C9" s="128">
        <f>-(C8-C12)*10%</f>
        <v>-424000</v>
      </c>
    </row>
    <row r="10" spans="1:13" x14ac:dyDescent="0.25">
      <c r="A10" s="129" t="s">
        <v>47</v>
      </c>
      <c r="B10" s="130">
        <f>C10/C10</f>
        <v>1</v>
      </c>
      <c r="C10" s="131">
        <f>+C8+C9</f>
        <v>6576000</v>
      </c>
    </row>
    <row r="11" spans="1:13" x14ac:dyDescent="0.25">
      <c r="A11" s="132" t="s">
        <v>48</v>
      </c>
      <c r="B11" s="119"/>
      <c r="C11" s="127"/>
      <c r="D11" t="s">
        <v>208</v>
      </c>
    </row>
    <row r="12" spans="1:13" x14ac:dyDescent="0.25">
      <c r="A12" s="118" t="s">
        <v>49</v>
      </c>
      <c r="B12" s="133">
        <f>+C12/C10</f>
        <v>0.41970802919708028</v>
      </c>
      <c r="C12" s="134">
        <v>2760000</v>
      </c>
      <c r="D12" s="154">
        <f>+C12/C4</f>
        <v>2131.2741312741314</v>
      </c>
    </row>
    <row r="13" spans="1:13" x14ac:dyDescent="0.25">
      <c r="A13" s="118" t="s">
        <v>414</v>
      </c>
      <c r="B13" s="135">
        <v>0.06</v>
      </c>
      <c r="C13" s="127">
        <f>C12*B13</f>
        <v>165600</v>
      </c>
    </row>
    <row r="14" spans="1:13" x14ac:dyDescent="0.25">
      <c r="A14" s="118" t="s">
        <v>51</v>
      </c>
      <c r="B14" s="136"/>
      <c r="C14" s="127">
        <v>40000</v>
      </c>
    </row>
    <row r="15" spans="1:13" x14ac:dyDescent="0.25">
      <c r="A15" s="118" t="s">
        <v>211</v>
      </c>
      <c r="B15" s="119"/>
      <c r="C15" s="127">
        <v>15000</v>
      </c>
    </row>
    <row r="16" spans="1:13" x14ac:dyDescent="0.25">
      <c r="A16" s="118" t="s">
        <v>420</v>
      </c>
      <c r="B16" s="119"/>
      <c r="C16" s="127">
        <v>25000</v>
      </c>
    </row>
    <row r="17" spans="1:8" x14ac:dyDescent="0.25">
      <c r="A17" s="129" t="s">
        <v>53</v>
      </c>
      <c r="B17" s="130">
        <f>C17/C10</f>
        <v>0.45705596107055962</v>
      </c>
      <c r="C17" s="131">
        <f>SUM(C12:C16)</f>
        <v>3005600</v>
      </c>
      <c r="D17" t="s">
        <v>401</v>
      </c>
      <c r="E17" t="s">
        <v>402</v>
      </c>
      <c r="F17" t="s">
        <v>403</v>
      </c>
    </row>
    <row r="18" spans="1:8" x14ac:dyDescent="0.25">
      <c r="A18" s="137" t="s">
        <v>415</v>
      </c>
      <c r="B18" s="138">
        <v>0.37</v>
      </c>
      <c r="C18" s="139">
        <f>+B18*C10</f>
        <v>2433120</v>
      </c>
      <c r="D18" s="4">
        <f>C18/C3</f>
        <v>3117.9455635860377</v>
      </c>
      <c r="E18" s="200">
        <f>D18*1.1</f>
        <v>3429.7401199446417</v>
      </c>
      <c r="F18" s="4">
        <f>C18/C5</f>
        <v>1216560</v>
      </c>
    </row>
    <row r="19" spans="1:8" x14ac:dyDescent="0.25">
      <c r="A19" s="118" t="s">
        <v>416</v>
      </c>
      <c r="B19" s="135">
        <v>6.0000000000000001E-3</v>
      </c>
      <c r="C19" s="134">
        <f>$C$10*B19</f>
        <v>39456</v>
      </c>
    </row>
    <row r="20" spans="1:8" x14ac:dyDescent="0.25">
      <c r="A20" s="118" t="s">
        <v>406</v>
      </c>
      <c r="B20" s="135">
        <v>7.0000000000000001E-3</v>
      </c>
      <c r="C20" s="134">
        <f>$C$10*B20</f>
        <v>46032</v>
      </c>
    </row>
    <row r="21" spans="1:8" x14ac:dyDescent="0.25">
      <c r="A21" s="118" t="s">
        <v>55</v>
      </c>
      <c r="B21" s="135">
        <v>0.01</v>
      </c>
      <c r="C21" s="134">
        <v>50000</v>
      </c>
    </row>
    <row r="22" spans="1:8" x14ac:dyDescent="0.25">
      <c r="A22" s="137" t="s">
        <v>56</v>
      </c>
      <c r="B22" s="138"/>
      <c r="C22" s="142">
        <v>80000</v>
      </c>
    </row>
    <row r="23" spans="1:8" x14ac:dyDescent="0.25">
      <c r="A23" s="137" t="s">
        <v>57</v>
      </c>
      <c r="B23" s="138">
        <v>7.0000000000000001E-3</v>
      </c>
      <c r="C23" s="142">
        <f>$C$10*B23</f>
        <v>46032</v>
      </c>
    </row>
    <row r="24" spans="1:8" x14ac:dyDescent="0.25">
      <c r="A24" s="118" t="s">
        <v>215</v>
      </c>
      <c r="B24" s="119"/>
      <c r="C24" s="127">
        <v>25000</v>
      </c>
      <c r="E24" s="6"/>
    </row>
    <row r="25" spans="1:8" x14ac:dyDescent="0.25">
      <c r="A25" s="129" t="s">
        <v>58</v>
      </c>
      <c r="B25" s="143">
        <f>C25/C10</f>
        <v>0.4135705596107056</v>
      </c>
      <c r="C25" s="145">
        <f>SUM(C18:C24)</f>
        <v>2719640</v>
      </c>
      <c r="D25" s="176"/>
      <c r="E25" s="285"/>
      <c r="F25" s="285"/>
      <c r="G25" s="285"/>
      <c r="H25" s="176"/>
    </row>
    <row r="26" spans="1:8" x14ac:dyDescent="0.25">
      <c r="A26" s="129" t="s">
        <v>59</v>
      </c>
      <c r="B26" s="144"/>
      <c r="C26" s="145">
        <f>C17+C25</f>
        <v>5725240</v>
      </c>
      <c r="D26" s="176"/>
      <c r="E26" s="176"/>
      <c r="F26" s="176"/>
      <c r="G26" s="176"/>
      <c r="H26" s="176"/>
    </row>
    <row r="27" spans="1:8" x14ac:dyDescent="0.25">
      <c r="A27" s="118" t="s">
        <v>54</v>
      </c>
      <c r="B27" s="135">
        <v>1.8499999999999999E-2</v>
      </c>
      <c r="C27" s="279">
        <f>$C$10*B27</f>
        <v>121656</v>
      </c>
      <c r="D27" s="278"/>
      <c r="E27" s="278"/>
      <c r="F27" s="278"/>
      <c r="G27" s="278"/>
      <c r="H27" s="176"/>
    </row>
    <row r="28" spans="1:8" x14ac:dyDescent="0.25">
      <c r="A28" s="146" t="s">
        <v>60</v>
      </c>
      <c r="B28" s="147">
        <f>+C28/C26</f>
        <v>0.12734907182930322</v>
      </c>
      <c r="C28" s="148">
        <f>+C10-C26-C27</f>
        <v>729104</v>
      </c>
      <c r="D28" s="278"/>
      <c r="E28" s="278"/>
      <c r="F28" s="278"/>
      <c r="G28" s="278"/>
      <c r="H28" s="176"/>
    </row>
    <row r="29" spans="1:8" x14ac:dyDescent="0.25">
      <c r="A29" t="s">
        <v>408</v>
      </c>
      <c r="B29" s="280"/>
      <c r="C29" s="218">
        <f>C39</f>
        <v>342496</v>
      </c>
      <c r="D29" s="281"/>
      <c r="E29" s="282"/>
      <c r="F29" s="282"/>
      <c r="G29" s="283"/>
      <c r="H29" s="284"/>
    </row>
    <row r="30" spans="1:8" x14ac:dyDescent="0.25">
      <c r="D30" s="176"/>
      <c r="E30" s="176"/>
      <c r="F30" s="176"/>
      <c r="G30" s="176"/>
      <c r="H30" s="176"/>
    </row>
    <row r="34" spans="1:3" ht="30" x14ac:dyDescent="0.25">
      <c r="A34" s="151" t="s">
        <v>417</v>
      </c>
      <c r="C34" s="5">
        <v>40000</v>
      </c>
    </row>
    <row r="35" spans="1:3" x14ac:dyDescent="0.25">
      <c r="A35" t="s">
        <v>418</v>
      </c>
      <c r="C35" s="4">
        <f>C10*80%</f>
        <v>5260800</v>
      </c>
    </row>
    <row r="36" spans="1:3" x14ac:dyDescent="0.25">
      <c r="A36" t="s">
        <v>419</v>
      </c>
      <c r="B36" s="6">
        <v>0.02</v>
      </c>
      <c r="C36" s="4">
        <f>B36*C35</f>
        <v>105216</v>
      </c>
    </row>
    <row r="37" spans="1:3" x14ac:dyDescent="0.25">
      <c r="A37" t="s">
        <v>149</v>
      </c>
      <c r="B37" s="6">
        <v>7.4999999999999997E-2</v>
      </c>
      <c r="C37" s="150">
        <f>C35*B37*50%</f>
        <v>197280</v>
      </c>
    </row>
    <row r="39" spans="1:3" x14ac:dyDescent="0.25">
      <c r="A39" t="s">
        <v>421</v>
      </c>
      <c r="C39" s="7">
        <f>C34+C36+C37</f>
        <v>342496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27EBB-6D3D-4298-9D70-7D6D1B8E270E}">
  <dimension ref="A1:AA60"/>
  <sheetViews>
    <sheetView topLeftCell="A29" zoomScale="130" zoomScaleNormal="130" workbookViewId="0">
      <selection activeCell="G54" sqref="G54"/>
    </sheetView>
  </sheetViews>
  <sheetFormatPr defaultRowHeight="15" x14ac:dyDescent="0.25"/>
  <cols>
    <col min="1" max="1" width="35.42578125" customWidth="1"/>
    <col min="2" max="2" width="9.28515625" customWidth="1"/>
    <col min="3" max="3" width="12.85546875" customWidth="1"/>
    <col min="4" max="4" width="14.5703125" customWidth="1"/>
    <col min="5" max="6" width="12.42578125" customWidth="1"/>
    <col min="7" max="7" width="11.7109375" customWidth="1"/>
    <col min="8" max="8" width="11.5703125" customWidth="1"/>
    <col min="9" max="9" width="10" customWidth="1"/>
    <col min="10" max="10" width="9.28515625" customWidth="1"/>
    <col min="11" max="11" width="8.7109375" customWidth="1"/>
    <col min="12" max="12" width="13.140625" customWidth="1"/>
    <col min="13" max="13" width="7.85546875" customWidth="1"/>
    <col min="14" max="14" width="11.5703125" customWidth="1"/>
    <col min="16" max="16" width="11.85546875" bestFit="1" customWidth="1"/>
    <col min="17" max="17" width="13.42578125" customWidth="1"/>
    <col min="18" max="18" width="11.7109375" customWidth="1"/>
    <col min="19" max="19" width="6.140625" customWidth="1"/>
    <col min="20" max="20" width="11.7109375" bestFit="1" customWidth="1"/>
    <col min="21" max="21" width="9.5703125" customWidth="1"/>
    <col min="22" max="22" width="11.7109375" bestFit="1" customWidth="1"/>
    <col min="24" max="24" width="12.5703125" customWidth="1"/>
    <col min="25" max="25" width="8" customWidth="1"/>
  </cols>
  <sheetData>
    <row r="1" spans="1:27" ht="15.75" thickBot="1" x14ac:dyDescent="0.3">
      <c r="A1" s="337" t="s">
        <v>37</v>
      </c>
      <c r="B1" s="338"/>
      <c r="C1" s="339"/>
      <c r="D1" s="196"/>
    </row>
    <row r="2" spans="1:27" x14ac:dyDescent="0.25">
      <c r="A2" s="118" t="s">
        <v>38</v>
      </c>
      <c r="B2" s="119" t="s">
        <v>39</v>
      </c>
      <c r="C2" s="120">
        <v>0</v>
      </c>
      <c r="D2" s="197"/>
      <c r="F2" s="198" t="s">
        <v>199</v>
      </c>
      <c r="G2" s="198"/>
      <c r="H2" s="198"/>
      <c r="I2" s="198"/>
      <c r="J2" s="198"/>
      <c r="K2" s="198"/>
      <c r="L2" s="198"/>
      <c r="M2" s="198"/>
      <c r="Z2" s="198"/>
      <c r="AA2" s="198" t="s">
        <v>200</v>
      </c>
    </row>
    <row r="3" spans="1:27" ht="15.75" thickBot="1" x14ac:dyDescent="0.3">
      <c r="A3" s="121" t="s">
        <v>40</v>
      </c>
      <c r="B3" s="122" t="s">
        <v>41</v>
      </c>
      <c r="C3" s="123">
        <f>+C2*9.29*C5</f>
        <v>0</v>
      </c>
      <c r="D3" s="197"/>
      <c r="F3" s="198"/>
      <c r="G3" s="226" t="s">
        <v>201</v>
      </c>
      <c r="H3" s="226" t="s">
        <v>202</v>
      </c>
      <c r="I3" s="226" t="s">
        <v>203</v>
      </c>
      <c r="J3" s="226" t="s">
        <v>204</v>
      </c>
      <c r="K3" s="226" t="s">
        <v>205</v>
      </c>
      <c r="L3" s="226" t="s">
        <v>149</v>
      </c>
      <c r="M3" s="198" t="s">
        <v>260</v>
      </c>
      <c r="Z3" s="198"/>
      <c r="AA3" s="198" t="s">
        <v>206</v>
      </c>
    </row>
    <row r="4" spans="1:27" ht="15.75" x14ac:dyDescent="0.25">
      <c r="A4" s="118" t="s">
        <v>42</v>
      </c>
      <c r="B4" s="119"/>
      <c r="C4" s="124">
        <v>1295</v>
      </c>
      <c r="D4" s="199"/>
      <c r="E4" s="200"/>
      <c r="F4" s="198" t="s">
        <v>12</v>
      </c>
      <c r="G4" s="198">
        <v>1</v>
      </c>
      <c r="H4" s="198">
        <v>70000</v>
      </c>
      <c r="I4" s="201">
        <v>45717</v>
      </c>
      <c r="J4" s="198">
        <v>15</v>
      </c>
      <c r="K4" s="202">
        <v>0.15</v>
      </c>
      <c r="L4" s="198">
        <f>(J4/12)*(H4*K4)</f>
        <v>13125</v>
      </c>
      <c r="M4" s="198"/>
      <c r="Z4" s="198"/>
      <c r="AA4" s="198"/>
    </row>
    <row r="5" spans="1:27" x14ac:dyDescent="0.25">
      <c r="A5" s="118" t="s">
        <v>43</v>
      </c>
      <c r="B5" s="119"/>
      <c r="C5" s="125">
        <v>1</v>
      </c>
      <c r="D5" s="203"/>
      <c r="E5" t="s">
        <v>207</v>
      </c>
      <c r="F5" s="198"/>
      <c r="G5" s="198">
        <v>2</v>
      </c>
      <c r="H5" s="198">
        <f>200000-H4</f>
        <v>130000</v>
      </c>
      <c r="I5" s="201">
        <v>45992</v>
      </c>
      <c r="J5" s="198">
        <v>5</v>
      </c>
      <c r="K5" s="202">
        <v>0.15</v>
      </c>
      <c r="L5" s="198">
        <f>(J5/12)*(H5*K5)</f>
        <v>8125</v>
      </c>
      <c r="M5" s="198">
        <f>SUM(L4:L5)</f>
        <v>21250</v>
      </c>
      <c r="Z5" s="198"/>
      <c r="AA5" s="198"/>
    </row>
    <row r="6" spans="1:27" x14ac:dyDescent="0.25">
      <c r="A6" s="118" t="s">
        <v>44</v>
      </c>
      <c r="B6" s="119">
        <v>2430</v>
      </c>
      <c r="C6" s="126">
        <f>1760000</f>
        <v>1760000</v>
      </c>
      <c r="D6" s="204"/>
      <c r="E6" s="5">
        <f>C8/C4</f>
        <v>1359.0733590733591</v>
      </c>
      <c r="F6" s="205"/>
      <c r="G6" s="198" t="s">
        <v>89</v>
      </c>
      <c r="H6" s="198">
        <f>SUM(H4:H5)</f>
        <v>200000</v>
      </c>
      <c r="I6" s="198"/>
      <c r="J6" s="198"/>
      <c r="K6" s="198"/>
      <c r="L6" s="198"/>
      <c r="M6" s="198"/>
      <c r="Z6" s="198"/>
      <c r="AA6" s="198"/>
    </row>
    <row r="7" spans="1:27" x14ac:dyDescent="0.25">
      <c r="A7" s="118"/>
      <c r="B7" s="119"/>
      <c r="C7" s="127"/>
      <c r="D7" s="206"/>
      <c r="F7" s="198"/>
      <c r="G7" s="198"/>
      <c r="H7" s="198"/>
      <c r="I7" s="198"/>
      <c r="J7" s="198"/>
      <c r="K7" s="198"/>
      <c r="L7" s="198"/>
      <c r="M7" s="198"/>
      <c r="Z7" s="198"/>
      <c r="AA7" s="198"/>
    </row>
    <row r="8" spans="1:27" x14ac:dyDescent="0.25">
      <c r="A8" s="118" t="s">
        <v>45</v>
      </c>
      <c r="B8" s="119"/>
      <c r="C8" s="128">
        <f>C6*C5+C7</f>
        <v>1760000</v>
      </c>
      <c r="D8" s="207"/>
      <c r="E8" s="4"/>
      <c r="F8" s="198" t="s">
        <v>11</v>
      </c>
      <c r="G8" s="198">
        <v>1</v>
      </c>
      <c r="H8" s="198">
        <v>70000</v>
      </c>
      <c r="I8" s="201">
        <v>45748</v>
      </c>
      <c r="J8" s="198">
        <v>15</v>
      </c>
      <c r="K8" s="202">
        <v>0.15</v>
      </c>
      <c r="L8" s="198">
        <f>(J8/12)*(H8*K8)</f>
        <v>13125</v>
      </c>
      <c r="M8" s="198"/>
      <c r="Z8" s="198"/>
      <c r="AA8" s="198"/>
    </row>
    <row r="9" spans="1:27" x14ac:dyDescent="0.25">
      <c r="A9" s="118" t="s">
        <v>46</v>
      </c>
      <c r="B9" s="119"/>
      <c r="C9" s="128"/>
      <c r="D9" s="207"/>
      <c r="F9" s="198"/>
      <c r="G9" s="198">
        <v>2</v>
      </c>
      <c r="H9" s="198">
        <v>100000</v>
      </c>
      <c r="I9" s="201">
        <v>46023</v>
      </c>
      <c r="J9" s="198">
        <v>5</v>
      </c>
      <c r="K9" s="202">
        <v>0.15</v>
      </c>
      <c r="L9" s="198">
        <f>(J9/12)*(H9*K9)</f>
        <v>6250</v>
      </c>
      <c r="M9" s="198"/>
      <c r="Z9" s="198"/>
      <c r="AA9" s="198"/>
    </row>
    <row r="10" spans="1:27" x14ac:dyDescent="0.25">
      <c r="A10" s="129" t="s">
        <v>47</v>
      </c>
      <c r="B10" s="130">
        <f>C10/C10</f>
        <v>1</v>
      </c>
      <c r="C10" s="131">
        <f>+C8+C9</f>
        <v>1760000</v>
      </c>
      <c r="D10" s="208"/>
      <c r="F10" s="198"/>
      <c r="G10" s="198">
        <v>3</v>
      </c>
      <c r="H10" s="198">
        <f>400000-H9-H8</f>
        <v>230000</v>
      </c>
      <c r="I10" s="201">
        <v>46023</v>
      </c>
      <c r="J10" s="198">
        <v>5</v>
      </c>
      <c r="K10" s="202">
        <v>0.15</v>
      </c>
      <c r="L10" s="198">
        <f>(J10/12)*(H10*K10)</f>
        <v>14375</v>
      </c>
      <c r="M10" s="198">
        <f>SUM(L8:L10)</f>
        <v>33750</v>
      </c>
      <c r="Z10" s="198"/>
      <c r="AA10" s="198"/>
    </row>
    <row r="11" spans="1:27" x14ac:dyDescent="0.25">
      <c r="A11" s="132" t="s">
        <v>48</v>
      </c>
      <c r="B11" s="119"/>
      <c r="C11" s="127"/>
      <c r="D11" s="206"/>
      <c r="E11" t="s">
        <v>208</v>
      </c>
      <c r="F11" s="198"/>
      <c r="G11" s="198" t="s">
        <v>89</v>
      </c>
      <c r="H11" s="209">
        <f>SUM(H8:H10)</f>
        <v>400000</v>
      </c>
      <c r="I11" s="198"/>
      <c r="J11" s="198"/>
      <c r="K11" s="198"/>
      <c r="L11" s="198"/>
      <c r="M11" s="198"/>
      <c r="Z11" s="198"/>
      <c r="AA11" s="198"/>
    </row>
    <row r="12" spans="1:27" x14ac:dyDescent="0.25">
      <c r="A12" s="118" t="s">
        <v>49</v>
      </c>
      <c r="B12" s="133"/>
      <c r="C12" s="134">
        <v>2760000</v>
      </c>
      <c r="D12" s="210"/>
      <c r="E12" s="154">
        <f>+C12/C4</f>
        <v>2131.2741312741314</v>
      </c>
      <c r="F12" s="198" t="s">
        <v>209</v>
      </c>
      <c r="G12" s="198"/>
      <c r="H12" s="209">
        <f>+H6+H11</f>
        <v>600000</v>
      </c>
      <c r="I12" s="198"/>
      <c r="J12" s="198"/>
      <c r="K12" s="198"/>
      <c r="L12" s="198"/>
      <c r="M12" s="198"/>
      <c r="Z12" s="198"/>
      <c r="AA12" s="198"/>
    </row>
    <row r="13" spans="1:27" x14ac:dyDescent="0.25">
      <c r="A13" s="118" t="s">
        <v>50</v>
      </c>
      <c r="B13" s="135">
        <v>0.06</v>
      </c>
      <c r="C13" s="127">
        <f>(C12+C11)*B13</f>
        <v>165600</v>
      </c>
      <c r="D13" s="206"/>
      <c r="F13" s="198"/>
      <c r="G13" s="198"/>
      <c r="H13" s="198"/>
      <c r="I13" s="198"/>
      <c r="J13" s="198"/>
      <c r="K13" s="198"/>
      <c r="L13" s="198"/>
      <c r="M13" s="198"/>
      <c r="Z13" s="198"/>
      <c r="AA13" s="198"/>
    </row>
    <row r="14" spans="1:27" x14ac:dyDescent="0.25">
      <c r="A14" s="118" t="s">
        <v>51</v>
      </c>
      <c r="B14" s="136"/>
      <c r="C14" s="127">
        <v>40000</v>
      </c>
      <c r="D14" s="206"/>
      <c r="F14" s="198" t="s">
        <v>210</v>
      </c>
      <c r="G14" s="198">
        <v>1</v>
      </c>
      <c r="H14" s="198">
        <v>150000</v>
      </c>
      <c r="I14" s="201">
        <v>46023</v>
      </c>
      <c r="J14" s="198">
        <v>5</v>
      </c>
      <c r="K14" s="202">
        <v>0.15</v>
      </c>
      <c r="L14" s="198">
        <f>(J14/12)*(H14*K14)</f>
        <v>9375</v>
      </c>
      <c r="M14" s="198">
        <f>+L14</f>
        <v>9375</v>
      </c>
      <c r="Z14" s="198"/>
      <c r="AA14" s="198"/>
    </row>
    <row r="15" spans="1:27" x14ac:dyDescent="0.25">
      <c r="A15" s="118" t="s">
        <v>211</v>
      </c>
      <c r="B15" s="119"/>
      <c r="C15" s="127">
        <v>15000</v>
      </c>
      <c r="D15" s="206"/>
      <c r="F15" s="198" t="s">
        <v>195</v>
      </c>
      <c r="G15" s="198">
        <v>1</v>
      </c>
      <c r="H15" s="198">
        <v>250000</v>
      </c>
      <c r="I15" s="201">
        <v>46023</v>
      </c>
      <c r="J15" s="198">
        <v>5</v>
      </c>
      <c r="K15" s="202">
        <v>0.15</v>
      </c>
      <c r="L15" s="198">
        <f>(J15/12)*(H15*K15)</f>
        <v>15625</v>
      </c>
      <c r="M15" s="198">
        <f>+L15</f>
        <v>15625</v>
      </c>
      <c r="Z15" s="198"/>
      <c r="AA15" s="198"/>
    </row>
    <row r="16" spans="1:27" x14ac:dyDescent="0.25">
      <c r="A16" s="118" t="s">
        <v>289</v>
      </c>
      <c r="B16" s="119"/>
      <c r="C16" s="127">
        <f>'Senior Funding Model'!D20</f>
        <v>22251.999999999996</v>
      </c>
      <c r="D16" s="206"/>
      <c r="F16" s="198"/>
      <c r="G16" s="198"/>
      <c r="H16" s="198"/>
      <c r="I16" s="201"/>
      <c r="J16" s="198"/>
      <c r="K16" s="202"/>
      <c r="L16" s="198"/>
      <c r="M16" s="198"/>
      <c r="Z16" s="198"/>
      <c r="AA16" s="198"/>
    </row>
    <row r="17" spans="1:27" x14ac:dyDescent="0.25">
      <c r="A17" s="129" t="s">
        <v>53</v>
      </c>
      <c r="B17" s="130">
        <f>C17/C10</f>
        <v>1.7061659090909091</v>
      </c>
      <c r="C17" s="131">
        <f>SUM(C11:C16)</f>
        <v>3002852</v>
      </c>
      <c r="D17" s="208"/>
      <c r="F17" s="198"/>
      <c r="G17" s="198"/>
      <c r="H17" s="198"/>
      <c r="I17" s="198"/>
      <c r="J17" s="198"/>
      <c r="K17" s="198"/>
      <c r="L17" s="198"/>
      <c r="M17" s="198"/>
      <c r="Z17" s="198"/>
      <c r="AA17" s="198"/>
    </row>
    <row r="18" spans="1:27" x14ac:dyDescent="0.25">
      <c r="A18" s="137" t="s">
        <v>387</v>
      </c>
      <c r="B18" s="138"/>
      <c r="C18" s="139"/>
      <c r="D18" s="139"/>
      <c r="E18" s="4"/>
      <c r="F18" s="198" t="s">
        <v>213</v>
      </c>
      <c r="G18" s="198"/>
      <c r="H18" s="211">
        <f>+H12+H14+H15</f>
        <v>1000000</v>
      </c>
      <c r="I18" s="198"/>
      <c r="J18" s="198"/>
      <c r="K18" s="212" t="s">
        <v>214</v>
      </c>
      <c r="L18" s="209">
        <f>SUM(L4:L17)</f>
        <v>80000</v>
      </c>
      <c r="M18" s="198"/>
      <c r="Z18" s="198"/>
      <c r="AA18" s="198"/>
    </row>
    <row r="19" spans="1:27" x14ac:dyDescent="0.25">
      <c r="A19" s="118" t="s">
        <v>215</v>
      </c>
      <c r="B19" s="135">
        <v>0.01</v>
      </c>
      <c r="C19" s="134">
        <v>25000</v>
      </c>
      <c r="D19" s="210"/>
      <c r="F19" s="198"/>
      <c r="G19" s="198"/>
      <c r="H19" s="198"/>
      <c r="I19" s="198"/>
      <c r="J19" s="198"/>
      <c r="K19" s="198"/>
      <c r="M19" s="209"/>
      <c r="Z19" s="198"/>
      <c r="AA19" s="198"/>
    </row>
    <row r="20" spans="1:27" x14ac:dyDescent="0.25">
      <c r="A20" s="118"/>
      <c r="B20" s="135">
        <v>8.0000000000000002E-3</v>
      </c>
      <c r="C20" s="134"/>
      <c r="D20" s="210"/>
      <c r="F20" s="198" t="s">
        <v>216</v>
      </c>
      <c r="G20" s="198">
        <v>1</v>
      </c>
      <c r="H20" s="209" t="e">
        <f>#REF!</f>
        <v>#REF!</v>
      </c>
      <c r="I20" s="201">
        <v>46023</v>
      </c>
      <c r="J20" s="198">
        <v>5</v>
      </c>
      <c r="K20" s="202">
        <v>0.08</v>
      </c>
      <c r="L20" s="213" t="e">
        <f>(J20/12)*(H20*K20)</f>
        <v>#REF!</v>
      </c>
      <c r="M20" s="198"/>
      <c r="Z20" s="198"/>
      <c r="AA20" s="198"/>
    </row>
    <row r="21" spans="1:27" x14ac:dyDescent="0.25">
      <c r="A21" s="118" t="s">
        <v>54</v>
      </c>
      <c r="B21" s="135">
        <v>1.6500000000000001E-2</v>
      </c>
      <c r="C21" s="140">
        <f>$C$10*B21</f>
        <v>29040</v>
      </c>
      <c r="D21" s="214"/>
    </row>
    <row r="22" spans="1:27" x14ac:dyDescent="0.25">
      <c r="A22" s="118" t="s">
        <v>55</v>
      </c>
      <c r="B22" s="135"/>
      <c r="C22" s="140">
        <v>5000</v>
      </c>
      <c r="D22" s="214"/>
      <c r="F22" t="s">
        <v>89</v>
      </c>
      <c r="H22" s="7" t="e">
        <f>H20+H18</f>
        <v>#REF!</v>
      </c>
      <c r="J22" t="s">
        <v>217</v>
      </c>
      <c r="L22" s="7" t="e">
        <f>+L20+L18</f>
        <v>#REF!</v>
      </c>
    </row>
    <row r="23" spans="1:27" x14ac:dyDescent="0.25">
      <c r="A23" s="137" t="s">
        <v>56</v>
      </c>
      <c r="B23" s="138"/>
      <c r="C23" s="141">
        <v>70000</v>
      </c>
      <c r="D23" s="214"/>
      <c r="F23" t="s">
        <v>35</v>
      </c>
      <c r="J23" s="53"/>
    </row>
    <row r="24" spans="1:27" x14ac:dyDescent="0.25">
      <c r="A24" s="137" t="s">
        <v>57</v>
      </c>
      <c r="B24" s="138"/>
      <c r="C24" s="142"/>
      <c r="D24" s="210"/>
    </row>
    <row r="25" spans="1:27" x14ac:dyDescent="0.25">
      <c r="A25" s="118" t="s">
        <v>218</v>
      </c>
      <c r="B25" s="119"/>
      <c r="C25" s="127"/>
      <c r="D25" s="206"/>
    </row>
    <row r="26" spans="1:27" x14ac:dyDescent="0.25">
      <c r="A26" s="129" t="s">
        <v>58</v>
      </c>
      <c r="B26" s="143">
        <f>C26/C10</f>
        <v>7.3318181818181824E-2</v>
      </c>
      <c r="C26" s="131">
        <f>SUM(C18:C25)</f>
        <v>129040</v>
      </c>
      <c r="D26" s="208"/>
      <c r="E26" t="s">
        <v>212</v>
      </c>
      <c r="F26" t="s">
        <v>238</v>
      </c>
      <c r="R26" t="s">
        <v>219</v>
      </c>
      <c r="T26" t="s">
        <v>202</v>
      </c>
      <c r="U26" t="s">
        <v>220</v>
      </c>
      <c r="V26" t="s">
        <v>221</v>
      </c>
    </row>
    <row r="27" spans="1:27" x14ac:dyDescent="0.25">
      <c r="A27" s="129"/>
      <c r="B27" s="144"/>
      <c r="C27" s="145"/>
      <c r="D27" s="145"/>
      <c r="E27" s="4">
        <f>C12*70%</f>
        <v>1931999.9999999998</v>
      </c>
      <c r="F27" s="4">
        <f>C17+C19+C22+C23-E27</f>
        <v>1170852.0000000002</v>
      </c>
      <c r="G27" s="223"/>
      <c r="H27" s="223"/>
      <c r="R27" t="s">
        <v>216</v>
      </c>
      <c r="T27" s="7" t="e">
        <f>H20</f>
        <v>#REF!</v>
      </c>
      <c r="U27" s="6">
        <f>K20</f>
        <v>0.08</v>
      </c>
      <c r="V27" s="163" t="e">
        <f>T27*U27/12</f>
        <v>#REF!</v>
      </c>
    </row>
    <row r="28" spans="1:27" x14ac:dyDescent="0.25">
      <c r="B28" s="7"/>
      <c r="C28" s="11"/>
    </row>
    <row r="29" spans="1:27" x14ac:dyDescent="0.25">
      <c r="B29" s="7"/>
    </row>
    <row r="30" spans="1:27" x14ac:dyDescent="0.25">
      <c r="B30" s="7"/>
      <c r="C30" s="4"/>
    </row>
    <row r="31" spans="1:27" x14ac:dyDescent="0.25">
      <c r="A31" t="s">
        <v>290</v>
      </c>
      <c r="C31" s="4">
        <f>C10</f>
        <v>1760000</v>
      </c>
    </row>
    <row r="32" spans="1:27" x14ac:dyDescent="0.25">
      <c r="A32" t="s">
        <v>291</v>
      </c>
      <c r="C32" s="4">
        <f>-C21</f>
        <v>-29040</v>
      </c>
    </row>
    <row r="33" spans="1:12" x14ac:dyDescent="0.25">
      <c r="A33" t="s">
        <v>292</v>
      </c>
      <c r="C33" s="5">
        <v>-1709468</v>
      </c>
    </row>
    <row r="35" spans="1:12" x14ac:dyDescent="0.25">
      <c r="C35" s="4">
        <f>SUM(C30:C34)</f>
        <v>21492</v>
      </c>
      <c r="L35" s="5"/>
    </row>
    <row r="37" spans="1:12" x14ac:dyDescent="0.25">
      <c r="A37" t="s">
        <v>293</v>
      </c>
      <c r="C37" s="4">
        <f>+E27</f>
        <v>1931999.9999999998</v>
      </c>
    </row>
    <row r="38" spans="1:12" x14ac:dyDescent="0.25">
      <c r="A38" t="s">
        <v>294</v>
      </c>
      <c r="C38" s="7">
        <f>-C33</f>
        <v>1709468</v>
      </c>
    </row>
    <row r="39" spans="1:12" x14ac:dyDescent="0.25">
      <c r="A39" t="s">
        <v>249</v>
      </c>
      <c r="C39" s="7">
        <f>+C37-C38</f>
        <v>222531.99999999977</v>
      </c>
    </row>
    <row r="41" spans="1:12" x14ac:dyDescent="0.25">
      <c r="A41" t="s">
        <v>295</v>
      </c>
      <c r="C41" s="4">
        <f>+F27</f>
        <v>1170852.0000000002</v>
      </c>
    </row>
    <row r="42" spans="1:12" x14ac:dyDescent="0.25">
      <c r="A42" t="s">
        <v>297</v>
      </c>
      <c r="C42">
        <f>'Capital Stack'!B25</f>
        <v>1145000</v>
      </c>
    </row>
    <row r="43" spans="1:12" x14ac:dyDescent="0.25">
      <c r="A43" t="s">
        <v>298</v>
      </c>
      <c r="C43" s="4">
        <f>+C41-C42</f>
        <v>25852.000000000233</v>
      </c>
    </row>
    <row r="45" spans="1:12" x14ac:dyDescent="0.25">
      <c r="C45" s="4" t="s">
        <v>303</v>
      </c>
      <c r="D45" t="s">
        <v>304</v>
      </c>
      <c r="E45" t="s">
        <v>305</v>
      </c>
    </row>
    <row r="46" spans="1:12" x14ac:dyDescent="0.25">
      <c r="A46" t="s">
        <v>300</v>
      </c>
      <c r="B46" s="239"/>
      <c r="C46" s="5">
        <v>1850000</v>
      </c>
      <c r="D46" s="5">
        <v>1900000</v>
      </c>
      <c r="E46" s="5">
        <v>2000000</v>
      </c>
    </row>
    <row r="47" spans="1:12" x14ac:dyDescent="0.25">
      <c r="A47" t="s">
        <v>212</v>
      </c>
      <c r="C47" s="7">
        <f>$C$39</f>
        <v>222531.99999999977</v>
      </c>
      <c r="D47" s="7">
        <f>$C$39</f>
        <v>222531.99999999977</v>
      </c>
      <c r="E47" s="7">
        <f>$C$39</f>
        <v>222531.99999999977</v>
      </c>
    </row>
    <row r="48" spans="1:12" x14ac:dyDescent="0.25">
      <c r="A48" t="s">
        <v>299</v>
      </c>
      <c r="C48">
        <f>$C42</f>
        <v>1145000</v>
      </c>
      <c r="D48">
        <f t="shared" ref="D48:E48" si="0">$C42</f>
        <v>1145000</v>
      </c>
      <c r="E48">
        <f t="shared" si="0"/>
        <v>1145000</v>
      </c>
    </row>
    <row r="49" spans="1:5" x14ac:dyDescent="0.25">
      <c r="A49" t="s">
        <v>296</v>
      </c>
      <c r="C49" s="4">
        <f>+$C43</f>
        <v>25852.000000000233</v>
      </c>
      <c r="D49" s="4">
        <f t="shared" ref="D49:E49" si="1">+$C43</f>
        <v>25852.000000000233</v>
      </c>
      <c r="E49" s="4">
        <f t="shared" si="1"/>
        <v>25852.000000000233</v>
      </c>
    </row>
    <row r="50" spans="1:5" x14ac:dyDescent="0.25">
      <c r="A50" t="s">
        <v>301</v>
      </c>
      <c r="C50">
        <f>+(C46*1.5%)+5000</f>
        <v>32750</v>
      </c>
      <c r="D50">
        <f t="shared" ref="D50:E50" si="2">+(D46*1.5%)+5000</f>
        <v>33500</v>
      </c>
      <c r="E50">
        <f t="shared" si="2"/>
        <v>35000</v>
      </c>
    </row>
    <row r="51" spans="1:5" x14ac:dyDescent="0.25">
      <c r="A51" t="s">
        <v>302</v>
      </c>
      <c r="C51" s="4">
        <f>(C46-(C12/2))*10%</f>
        <v>47000</v>
      </c>
      <c r="D51" s="4">
        <f>(D46-($C12/2))*10%</f>
        <v>52000</v>
      </c>
      <c r="E51" s="4">
        <f>(E46-($C12/2))*10%</f>
        <v>62000</v>
      </c>
    </row>
    <row r="52" spans="1:5" x14ac:dyDescent="0.25">
      <c r="A52" t="s">
        <v>306</v>
      </c>
      <c r="B52" s="6">
        <v>0.06</v>
      </c>
      <c r="D52">
        <f>+D47*6%</f>
        <v>13351.919999999986</v>
      </c>
      <c r="E52">
        <f>+E47*6%</f>
        <v>13351.919999999986</v>
      </c>
    </row>
    <row r="53" spans="1:5" x14ac:dyDescent="0.25">
      <c r="A53" t="s">
        <v>307</v>
      </c>
      <c r="B53" s="6">
        <v>0.15</v>
      </c>
      <c r="D53" s="4">
        <f>$B53*D49</f>
        <v>3877.8000000000347</v>
      </c>
      <c r="E53" s="4">
        <f>$B53*E49</f>
        <v>3877.8000000000347</v>
      </c>
    </row>
    <row r="54" spans="1:5" x14ac:dyDescent="0.25">
      <c r="A54" t="s">
        <v>55</v>
      </c>
      <c r="D54">
        <v>5000</v>
      </c>
      <c r="E54">
        <v>5000</v>
      </c>
    </row>
    <row r="55" spans="1:5" x14ac:dyDescent="0.25">
      <c r="A55" t="s">
        <v>29</v>
      </c>
      <c r="D55">
        <v>5000</v>
      </c>
      <c r="E55">
        <v>5000</v>
      </c>
    </row>
    <row r="56" spans="1:5" x14ac:dyDescent="0.25">
      <c r="A56" t="s">
        <v>308</v>
      </c>
      <c r="C56" s="7">
        <f>SUM(C47:C55)</f>
        <v>1473134</v>
      </c>
      <c r="D56" s="7">
        <f t="shared" ref="D56:E56" si="3">SUM(D47:D55)</f>
        <v>1506113.72</v>
      </c>
      <c r="E56" s="7">
        <f t="shared" si="3"/>
        <v>1517613.72</v>
      </c>
    </row>
    <row r="57" spans="1:5" x14ac:dyDescent="0.25">
      <c r="A57" t="s">
        <v>309</v>
      </c>
      <c r="C57" s="7">
        <f>C46-C56</f>
        <v>376866</v>
      </c>
      <c r="D57" s="7">
        <f t="shared" ref="D57:E57" si="4">D46-D56</f>
        <v>393886.28</v>
      </c>
      <c r="E57" s="7">
        <f t="shared" si="4"/>
        <v>482386.28</v>
      </c>
    </row>
    <row r="59" spans="1:5" x14ac:dyDescent="0.25">
      <c r="A59" t="s">
        <v>310</v>
      </c>
      <c r="B59" s="6"/>
      <c r="C59" s="7">
        <f>+C57+C53</f>
        <v>376866</v>
      </c>
      <c r="D59" s="7">
        <f t="shared" ref="D59:E59" si="5">+D57+D53</f>
        <v>397764.08000000007</v>
      </c>
      <c r="E59" s="7">
        <f t="shared" si="5"/>
        <v>486264.08000000007</v>
      </c>
    </row>
    <row r="60" spans="1:5" x14ac:dyDescent="0.25">
      <c r="A60" t="s">
        <v>311</v>
      </c>
      <c r="B60" s="6">
        <v>0.4</v>
      </c>
      <c r="C60" s="154">
        <f>+C59*$B60</f>
        <v>150746.4</v>
      </c>
      <c r="D60" s="154">
        <f t="shared" ref="D60:E60" si="6">+D59*$B60</f>
        <v>159105.63200000004</v>
      </c>
      <c r="E60" s="154">
        <f t="shared" si="6"/>
        <v>194505.63200000004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EAC18-6A99-4BCC-BCC7-4084068DD670}">
  <dimension ref="A1:K62"/>
  <sheetViews>
    <sheetView zoomScale="130" zoomScaleNormal="13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6" sqref="C16"/>
    </sheetView>
  </sheetViews>
  <sheetFormatPr defaultRowHeight="15" x14ac:dyDescent="0.25"/>
  <cols>
    <col min="1" max="1" width="26.140625" customWidth="1"/>
    <col min="2" max="2" width="10" customWidth="1"/>
    <col min="3" max="3" width="11.85546875" customWidth="1"/>
    <col min="4" max="5" width="12.28515625" bestFit="1" customWidth="1"/>
    <col min="6" max="7" width="12.28515625" customWidth="1"/>
    <col min="8" max="8" width="11.42578125" hidden="1" customWidth="1"/>
    <col min="9" max="9" width="12.5703125" hidden="1" customWidth="1"/>
    <col min="10" max="10" width="56" hidden="1" customWidth="1"/>
  </cols>
  <sheetData>
    <row r="1" spans="1:11" x14ac:dyDescent="0.25">
      <c r="A1" s="16" t="s">
        <v>0</v>
      </c>
      <c r="B1" s="17"/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8">
        <v>7</v>
      </c>
    </row>
    <row r="2" spans="1:11" x14ac:dyDescent="0.25">
      <c r="A2" s="19" t="s">
        <v>61</v>
      </c>
      <c r="B2" s="20"/>
      <c r="C2" s="20">
        <v>2026</v>
      </c>
      <c r="D2" s="20">
        <v>2027</v>
      </c>
      <c r="E2" s="20">
        <v>2028</v>
      </c>
      <c r="F2" s="20">
        <v>2029</v>
      </c>
      <c r="G2" s="20">
        <v>2030</v>
      </c>
      <c r="H2" s="20">
        <v>2031</v>
      </c>
      <c r="I2" s="21">
        <v>2032</v>
      </c>
    </row>
    <row r="3" spans="1:11" x14ac:dyDescent="0.25">
      <c r="A3" s="22" t="s">
        <v>16</v>
      </c>
      <c r="B3" s="8"/>
      <c r="C3" s="13"/>
      <c r="D3" s="12">
        <f>(D5-C5)/C5</f>
        <v>0.2318840579710145</v>
      </c>
      <c r="E3" s="13">
        <v>0.05</v>
      </c>
      <c r="F3" s="13">
        <v>0.05</v>
      </c>
      <c r="G3" s="13">
        <v>0.05</v>
      </c>
      <c r="H3" s="13">
        <v>0.05</v>
      </c>
      <c r="I3" s="23">
        <v>0.05</v>
      </c>
    </row>
    <row r="4" spans="1:11" x14ac:dyDescent="0.25">
      <c r="A4" s="22" t="s">
        <v>62</v>
      </c>
      <c r="B4" s="8"/>
      <c r="C4" s="10">
        <f t="shared" ref="C4:I4" si="0">+C5/2</f>
        <v>1380000</v>
      </c>
      <c r="D4" s="10">
        <f t="shared" si="0"/>
        <v>1700000</v>
      </c>
      <c r="E4" s="10">
        <f t="shared" si="0"/>
        <v>1785000</v>
      </c>
      <c r="F4" s="10">
        <f t="shared" si="0"/>
        <v>1874250</v>
      </c>
      <c r="G4" s="10">
        <f t="shared" si="0"/>
        <v>1967962.5</v>
      </c>
      <c r="H4" s="10">
        <f t="shared" si="0"/>
        <v>2066360.625</v>
      </c>
      <c r="I4" s="24">
        <f t="shared" si="0"/>
        <v>2169678.65625</v>
      </c>
    </row>
    <row r="5" spans="1:11" x14ac:dyDescent="0.25">
      <c r="A5" s="22" t="s">
        <v>1</v>
      </c>
      <c r="B5" s="8"/>
      <c r="C5" s="10">
        <v>2760000</v>
      </c>
      <c r="D5" s="10">
        <f>1700000*2</f>
        <v>3400000</v>
      </c>
      <c r="E5" s="10">
        <f>+D5*(100%+E3)</f>
        <v>3570000</v>
      </c>
      <c r="F5" s="10">
        <f t="shared" ref="F5:I5" si="1">+E5*(100%+F3)</f>
        <v>3748500</v>
      </c>
      <c r="G5" s="10">
        <f t="shared" si="1"/>
        <v>3935925</v>
      </c>
      <c r="H5" s="10">
        <f t="shared" si="1"/>
        <v>4132721.25</v>
      </c>
      <c r="I5" s="24">
        <f t="shared" si="1"/>
        <v>4339357.3125</v>
      </c>
    </row>
    <row r="6" spans="1:11" x14ac:dyDescent="0.25">
      <c r="A6" s="22" t="s">
        <v>63</v>
      </c>
      <c r="B6" s="8"/>
      <c r="C6" s="10"/>
      <c r="D6" s="10">
        <f t="shared" ref="D6:I6" si="2">+D5-C5</f>
        <v>640000</v>
      </c>
      <c r="E6" s="10">
        <f t="shared" si="2"/>
        <v>170000</v>
      </c>
      <c r="F6" s="10">
        <f t="shared" si="2"/>
        <v>178500</v>
      </c>
      <c r="G6" s="10">
        <f t="shared" si="2"/>
        <v>187425</v>
      </c>
      <c r="H6" s="10">
        <f t="shared" si="2"/>
        <v>196796.25</v>
      </c>
      <c r="I6" s="24">
        <f t="shared" si="2"/>
        <v>206636.0625</v>
      </c>
      <c r="K6">
        <v>800000</v>
      </c>
    </row>
    <row r="7" spans="1:11" x14ac:dyDescent="0.25">
      <c r="A7" s="22" t="s">
        <v>2</v>
      </c>
      <c r="B7" s="8"/>
      <c r="C7" s="10">
        <f>C5*6%</f>
        <v>165600</v>
      </c>
      <c r="D7" s="10"/>
      <c r="E7" s="10"/>
      <c r="F7" s="8"/>
      <c r="G7" s="8"/>
      <c r="H7" s="8"/>
      <c r="I7" s="25"/>
      <c r="J7" t="s">
        <v>64</v>
      </c>
    </row>
    <row r="8" spans="1:11" x14ac:dyDescent="0.25">
      <c r="A8" s="26" t="s">
        <v>3</v>
      </c>
      <c r="B8" s="12"/>
      <c r="C8" s="10">
        <v>8000</v>
      </c>
      <c r="D8" s="10"/>
      <c r="E8" s="10"/>
      <c r="F8" s="8"/>
      <c r="G8" s="8"/>
      <c r="H8" s="8"/>
      <c r="I8" s="25"/>
      <c r="J8" t="s">
        <v>65</v>
      </c>
    </row>
    <row r="9" spans="1:11" x14ac:dyDescent="0.25">
      <c r="A9" s="22" t="s">
        <v>4</v>
      </c>
      <c r="B9" s="8"/>
      <c r="C9" s="10">
        <v>30000</v>
      </c>
      <c r="D9" s="10"/>
      <c r="E9" s="10"/>
      <c r="F9" s="8"/>
      <c r="G9" s="8"/>
      <c r="H9" s="8"/>
      <c r="I9" s="25"/>
      <c r="J9" t="s">
        <v>66</v>
      </c>
    </row>
    <row r="10" spans="1:11" x14ac:dyDescent="0.25">
      <c r="A10" s="22" t="s">
        <v>5</v>
      </c>
      <c r="B10" s="8"/>
      <c r="C10" s="10">
        <v>60000</v>
      </c>
      <c r="D10" s="10"/>
      <c r="E10" s="10"/>
      <c r="F10" s="8"/>
      <c r="G10" s="8"/>
      <c r="H10" s="8"/>
      <c r="I10" s="25"/>
    </row>
    <row r="11" spans="1:11" x14ac:dyDescent="0.25">
      <c r="A11" s="22" t="s">
        <v>6</v>
      </c>
      <c r="B11" s="8"/>
      <c r="C11" s="10">
        <f>SUM(C5:C10)</f>
        <v>3023600</v>
      </c>
      <c r="D11" s="10"/>
      <c r="E11" s="10"/>
      <c r="F11" s="8"/>
      <c r="G11" s="8"/>
      <c r="H11" s="8"/>
      <c r="I11" s="25"/>
    </row>
    <row r="12" spans="1:11" x14ac:dyDescent="0.25">
      <c r="A12" s="22"/>
      <c r="B12" s="8"/>
      <c r="C12" s="10"/>
      <c r="D12" s="10"/>
      <c r="E12" s="10"/>
      <c r="F12" s="8"/>
      <c r="G12" s="8"/>
      <c r="H12" s="8"/>
      <c r="I12" s="25"/>
    </row>
    <row r="13" spans="1:11" x14ac:dyDescent="0.25">
      <c r="A13" s="22" t="s">
        <v>67</v>
      </c>
      <c r="B13" s="8"/>
      <c r="C13" s="10">
        <f>C5*70%</f>
        <v>1931999.9999999998</v>
      </c>
      <c r="D13" s="10">
        <f t="shared" ref="D13:I13" si="3">D5*70%</f>
        <v>2380000</v>
      </c>
      <c r="E13" s="10">
        <f t="shared" si="3"/>
        <v>2499000</v>
      </c>
      <c r="F13" s="10">
        <f t="shared" si="3"/>
        <v>2623950</v>
      </c>
      <c r="G13" s="10">
        <f t="shared" si="3"/>
        <v>2755147.5</v>
      </c>
      <c r="H13" s="10">
        <f t="shared" si="3"/>
        <v>2892904.875</v>
      </c>
      <c r="I13" s="10">
        <f t="shared" si="3"/>
        <v>3037550.1187499999</v>
      </c>
    </row>
    <row r="14" spans="1:11" x14ac:dyDescent="0.25">
      <c r="A14" s="22" t="s">
        <v>68</v>
      </c>
      <c r="B14" s="8"/>
      <c r="C14" s="10">
        <f>+C5*30%</f>
        <v>828000</v>
      </c>
      <c r="D14" s="10">
        <f t="shared" ref="D14:I14" si="4">+D5*30%</f>
        <v>1020000</v>
      </c>
      <c r="E14" s="10">
        <f t="shared" si="4"/>
        <v>1071000</v>
      </c>
      <c r="F14" s="10">
        <f t="shared" si="4"/>
        <v>1124550</v>
      </c>
      <c r="G14" s="10">
        <f t="shared" si="4"/>
        <v>1180777.5</v>
      </c>
      <c r="H14" s="10">
        <f t="shared" si="4"/>
        <v>1239816.375</v>
      </c>
      <c r="I14" s="10">
        <f t="shared" si="4"/>
        <v>1301807.1937499999</v>
      </c>
    </row>
    <row r="15" spans="1:11" x14ac:dyDescent="0.25">
      <c r="A15" s="27" t="s">
        <v>69</v>
      </c>
      <c r="B15" s="28"/>
      <c r="C15" s="29">
        <f>C11-C13</f>
        <v>1091600.0000000002</v>
      </c>
      <c r="D15" s="10"/>
      <c r="E15" s="10"/>
      <c r="F15" s="10"/>
      <c r="G15" s="10"/>
      <c r="H15" s="10"/>
      <c r="I15" s="10"/>
    </row>
    <row r="16" spans="1:11" x14ac:dyDescent="0.25">
      <c r="A16" s="35" t="s">
        <v>70</v>
      </c>
      <c r="B16" s="11">
        <f>+C16/C15</f>
        <v>0.91608647856357617</v>
      </c>
      <c r="C16" s="5">
        <v>1000000</v>
      </c>
      <c r="D16" s="5">
        <v>1000000</v>
      </c>
      <c r="E16" s="5">
        <v>1000000</v>
      </c>
      <c r="F16" s="5">
        <v>1000000</v>
      </c>
      <c r="G16" s="5">
        <v>1000000</v>
      </c>
      <c r="H16" s="5">
        <v>800000</v>
      </c>
      <c r="I16" s="5">
        <v>800000</v>
      </c>
    </row>
    <row r="17" spans="1:9" x14ac:dyDescent="0.25">
      <c r="A17" s="35" t="s">
        <v>71</v>
      </c>
      <c r="B17" s="11">
        <f>C17/C15</f>
        <v>8.3913521436423791E-2</v>
      </c>
      <c r="C17" s="7">
        <f>C15-C16</f>
        <v>91600.000000000233</v>
      </c>
      <c r="D17" s="7">
        <f>C17</f>
        <v>91600.000000000233</v>
      </c>
      <c r="E17" s="7">
        <f t="shared" ref="E17:I17" si="5">D17</f>
        <v>91600.000000000233</v>
      </c>
      <c r="F17" s="7">
        <f t="shared" si="5"/>
        <v>91600.000000000233</v>
      </c>
      <c r="G17" s="7">
        <f t="shared" si="5"/>
        <v>91600.000000000233</v>
      </c>
      <c r="H17" s="7">
        <f t="shared" si="5"/>
        <v>91600.000000000233</v>
      </c>
      <c r="I17" s="7">
        <f t="shared" si="5"/>
        <v>91600.000000000233</v>
      </c>
    </row>
    <row r="18" spans="1:9" x14ac:dyDescent="0.25">
      <c r="A18" s="35" t="s">
        <v>72</v>
      </c>
      <c r="B18" s="11">
        <v>0.12</v>
      </c>
      <c r="C18" s="7">
        <f>(C17*12%)/2</f>
        <v>5496.0000000000136</v>
      </c>
      <c r="D18" s="7">
        <f>(D17*12%)</f>
        <v>10992.000000000027</v>
      </c>
      <c r="E18" s="7">
        <f t="shared" ref="E18:I18" si="6">(E17*12%)</f>
        <v>10992.000000000027</v>
      </c>
      <c r="F18" s="7">
        <f t="shared" si="6"/>
        <v>10992.000000000027</v>
      </c>
      <c r="G18" s="7">
        <f t="shared" si="6"/>
        <v>10992.000000000027</v>
      </c>
      <c r="H18" s="7">
        <f t="shared" si="6"/>
        <v>10992.000000000027</v>
      </c>
      <c r="I18" s="7">
        <f t="shared" si="6"/>
        <v>10992.000000000027</v>
      </c>
    </row>
    <row r="19" spans="1:9" x14ac:dyDescent="0.25">
      <c r="B19" s="11"/>
      <c r="C19" s="7"/>
      <c r="D19" s="7"/>
      <c r="E19" s="7"/>
      <c r="F19" s="7"/>
      <c r="G19" s="7"/>
      <c r="H19" s="7"/>
      <c r="I19" s="7"/>
    </row>
    <row r="20" spans="1:9" x14ac:dyDescent="0.25">
      <c r="A20" t="s">
        <v>73</v>
      </c>
      <c r="B20" s="11"/>
      <c r="C20" s="7">
        <f>D5-C5-C7-C8-C9-C10-C18</f>
        <v>370904</v>
      </c>
      <c r="D20" s="7">
        <f>E5-C11+C48-D18-C18</f>
        <v>512722.4</v>
      </c>
      <c r="E20" s="7">
        <f>F5-C11+C48+D48-C18-D18-E18</f>
        <v>676394.4</v>
      </c>
      <c r="F20" s="7">
        <f>G5-C11+C48+D48+E48-C18-D18-E18-F18</f>
        <v>858919</v>
      </c>
      <c r="G20" s="7">
        <f>H5-C11+C48+D48+E48+F48+G48-C18-D18-E18-F18-G18</f>
        <v>1128503.4500000002</v>
      </c>
      <c r="H20" s="7"/>
      <c r="I20" s="7"/>
    </row>
    <row r="21" spans="1:9" x14ac:dyDescent="0.25">
      <c r="A21" t="s">
        <v>74</v>
      </c>
      <c r="B21" s="11"/>
      <c r="C21" s="7"/>
      <c r="D21" s="11">
        <f>D20/C20-100%</f>
        <v>0.38235877747341629</v>
      </c>
      <c r="E21" s="11">
        <f t="shared" ref="E21:G21" si="7">E20/D20-100%</f>
        <v>0.3192214734523009</v>
      </c>
      <c r="F21" s="11">
        <f t="shared" si="7"/>
        <v>0.26984936599120268</v>
      </c>
      <c r="G21" s="11">
        <f t="shared" si="7"/>
        <v>0.31386481146650635</v>
      </c>
      <c r="H21" s="7"/>
      <c r="I21" s="7"/>
    </row>
    <row r="22" spans="1:9" x14ac:dyDescent="0.25">
      <c r="A22" t="s">
        <v>75</v>
      </c>
      <c r="B22" s="11">
        <v>0.7</v>
      </c>
      <c r="C22" s="7">
        <f>C20*$B$22</f>
        <v>259632.8</v>
      </c>
      <c r="D22" s="7">
        <f t="shared" ref="D22:G22" si="8">D20*$B$22</f>
        <v>358905.68</v>
      </c>
      <c r="E22" s="7">
        <f t="shared" si="8"/>
        <v>473476.07999999996</v>
      </c>
      <c r="F22" s="7">
        <f t="shared" si="8"/>
        <v>601243.29999999993</v>
      </c>
      <c r="G22" s="7">
        <f t="shared" si="8"/>
        <v>789952.41500000004</v>
      </c>
      <c r="H22" s="7"/>
      <c r="I22" s="7"/>
    </row>
    <row r="23" spans="1:9" x14ac:dyDescent="0.25">
      <c r="A23" t="s">
        <v>76</v>
      </c>
      <c r="B23" s="11"/>
      <c r="C23" s="11">
        <f>+C22/C16*2</f>
        <v>0.51926559999999999</v>
      </c>
      <c r="D23" s="11">
        <f>(D22/D16)/1.5</f>
        <v>0.23927045333333333</v>
      </c>
      <c r="E23" s="11">
        <f>(E22/E16)/2.5</f>
        <v>0.189390432</v>
      </c>
      <c r="F23" s="11">
        <f>(F22/F16)/3.5</f>
        <v>0.17178379999999999</v>
      </c>
      <c r="G23" s="11">
        <f>(G22/G16)/4.5</f>
        <v>0.17554498111111111</v>
      </c>
      <c r="H23" s="7"/>
      <c r="I23" s="7"/>
    </row>
    <row r="24" spans="1:9" x14ac:dyDescent="0.25">
      <c r="B24" s="11"/>
      <c r="C24" s="7"/>
      <c r="D24" s="7"/>
      <c r="E24" s="7"/>
      <c r="F24" s="7"/>
      <c r="G24" s="7"/>
      <c r="H24" s="7"/>
      <c r="I24" s="7"/>
    </row>
    <row r="25" spans="1:9" x14ac:dyDescent="0.25">
      <c r="A25" t="s">
        <v>77</v>
      </c>
      <c r="B25" s="6">
        <f>100%-B22</f>
        <v>0.30000000000000004</v>
      </c>
      <c r="C25" s="89">
        <f>$B$25*C20</f>
        <v>111271.20000000001</v>
      </c>
      <c r="D25" s="89">
        <f t="shared" ref="D25:G25" si="9">$B$25*D20</f>
        <v>153816.72000000003</v>
      </c>
      <c r="E25" s="89">
        <f t="shared" si="9"/>
        <v>202918.32000000004</v>
      </c>
      <c r="F25" s="89">
        <f t="shared" si="9"/>
        <v>257675.70000000004</v>
      </c>
      <c r="G25" s="89">
        <f t="shared" si="9"/>
        <v>338551.03500000009</v>
      </c>
    </row>
    <row r="26" spans="1:9" hidden="1" x14ac:dyDescent="0.25">
      <c r="A26" t="s">
        <v>78</v>
      </c>
      <c r="B26" s="14"/>
      <c r="C26" s="89">
        <f>C25-C18</f>
        <v>105775.2</v>
      </c>
      <c r="D26" s="89">
        <f>D25-D18-C18</f>
        <v>137328.72</v>
      </c>
      <c r="E26" s="89">
        <f>E25-E18-D18-C18</f>
        <v>175438.31999999998</v>
      </c>
      <c r="F26" s="89">
        <f>F25-F18-E18-D18-C18</f>
        <v>219203.69999999995</v>
      </c>
      <c r="G26" s="89">
        <f>G25-G18-F18-E18-D18-C18</f>
        <v>289087.03500000009</v>
      </c>
    </row>
    <row r="27" spans="1:9" x14ac:dyDescent="0.25">
      <c r="B27" s="14"/>
      <c r="C27" s="89"/>
      <c r="D27" s="89"/>
      <c r="E27" s="89"/>
      <c r="F27" s="89"/>
      <c r="G27" s="89"/>
    </row>
    <row r="28" spans="1:9" x14ac:dyDescent="0.25">
      <c r="B28" s="14"/>
      <c r="C28" s="89"/>
      <c r="D28" s="89"/>
      <c r="E28" s="89"/>
      <c r="F28" s="89"/>
      <c r="G28" s="89"/>
    </row>
    <row r="29" spans="1:9" ht="15.75" thickBot="1" x14ac:dyDescent="0.3">
      <c r="A29" t="s">
        <v>79</v>
      </c>
    </row>
    <row r="30" spans="1:9" x14ac:dyDescent="0.25">
      <c r="A30" s="16" t="s">
        <v>80</v>
      </c>
      <c r="B30" s="17"/>
      <c r="C30" s="17"/>
      <c r="D30" s="36">
        <v>0.05</v>
      </c>
      <c r="E30" s="36">
        <f>+E31/D31</f>
        <v>1.0683006535947712</v>
      </c>
      <c r="F30" s="36">
        <v>0.04</v>
      </c>
      <c r="G30" s="37">
        <v>0.04</v>
      </c>
      <c r="H30" s="37">
        <v>0.04</v>
      </c>
      <c r="I30" s="38">
        <v>0.04</v>
      </c>
    </row>
    <row r="31" spans="1:9" x14ac:dyDescent="0.25">
      <c r="A31" s="41" t="s">
        <v>81</v>
      </c>
      <c r="B31" s="42"/>
      <c r="C31" s="43">
        <f>'Cash Flow FY1'!B22</f>
        <v>69120</v>
      </c>
      <c r="D31" s="43">
        <f>'Cash Flow FY2'!B21</f>
        <v>183600</v>
      </c>
      <c r="E31" s="43">
        <f>'Cash Flow FY3'!B21</f>
        <v>196140</v>
      </c>
      <c r="F31" s="43">
        <f>'Cash Flow FY4'!B21</f>
        <v>206550</v>
      </c>
      <c r="G31" s="43">
        <f>'Cash Flow FY5'!B21</f>
        <v>216750</v>
      </c>
      <c r="H31" s="43">
        <f>'Cash Flow FY4'!D21</f>
        <v>16200</v>
      </c>
      <c r="I31" s="43">
        <f>'Cash Flow FY4'!E21</f>
        <v>20250</v>
      </c>
    </row>
    <row r="32" spans="1:9" x14ac:dyDescent="0.25">
      <c r="A32" s="22" t="s">
        <v>23</v>
      </c>
      <c r="B32" s="8"/>
      <c r="C32" s="8"/>
      <c r="D32" s="8"/>
      <c r="E32" s="8"/>
      <c r="F32" s="8"/>
      <c r="G32" s="40"/>
      <c r="H32" s="40"/>
      <c r="I32" s="25"/>
    </row>
    <row r="33" spans="1:9" x14ac:dyDescent="0.25">
      <c r="A33" s="22" t="s">
        <v>82</v>
      </c>
      <c r="B33" s="13"/>
      <c r="C33" s="8">
        <f>'Cash Flow FY1'!B3</f>
        <v>59312.39999999998</v>
      </c>
      <c r="D33" s="44">
        <f>'Cash Flow FY2'!B2</f>
        <v>115919.99999999999</v>
      </c>
      <c r="E33" s="44">
        <f>'Cash Flow FY3'!B2</f>
        <v>115919.99999999999</v>
      </c>
      <c r="F33" s="44">
        <f>'Cash Flow FY4'!B2</f>
        <v>115919.99999999999</v>
      </c>
      <c r="G33" s="44">
        <f t="shared" ref="G33:I33" si="10">+F33*(100%+$B$33)</f>
        <v>115919.99999999999</v>
      </c>
      <c r="H33" s="44">
        <f t="shared" si="10"/>
        <v>115919.99999999999</v>
      </c>
      <c r="I33" s="45">
        <f t="shared" si="10"/>
        <v>115919.99999999999</v>
      </c>
    </row>
    <row r="34" spans="1:9" x14ac:dyDescent="0.25">
      <c r="A34" s="22" t="s">
        <v>24</v>
      </c>
      <c r="B34" s="13"/>
      <c r="C34" s="8">
        <f>'Cash Flow FY1'!B4</f>
        <v>6349.9999999999991</v>
      </c>
      <c r="D34" s="44">
        <f>'Cash Flow FY2'!B3</f>
        <v>12720</v>
      </c>
      <c r="E34" s="44">
        <f>'Cash Flow FY3'!B3</f>
        <v>12780</v>
      </c>
      <c r="F34" s="44">
        <f>'Cash Flow FY4'!B3</f>
        <v>13163.400000000003</v>
      </c>
      <c r="G34" s="44">
        <f t="shared" ref="G34:I37" si="11">+F34*(100%+$B34)</f>
        <v>13163.400000000003</v>
      </c>
      <c r="H34" s="44">
        <f t="shared" si="11"/>
        <v>13163.400000000003</v>
      </c>
      <c r="I34" s="45">
        <f t="shared" si="11"/>
        <v>13163.400000000003</v>
      </c>
    </row>
    <row r="35" spans="1:9" x14ac:dyDescent="0.25">
      <c r="A35" s="22" t="s">
        <v>25</v>
      </c>
      <c r="B35" s="13"/>
      <c r="C35" s="8">
        <f>'Cash Flow FY1'!B5</f>
        <v>3000</v>
      </c>
      <c r="D35" s="44">
        <f>'Cash Flow FY2'!B4</f>
        <v>6000</v>
      </c>
      <c r="E35" s="44">
        <f>'Cash Flow FY3'!B4</f>
        <v>7800</v>
      </c>
      <c r="F35" s="44">
        <f>'Cash Flow FY4'!B4</f>
        <v>8400</v>
      </c>
      <c r="G35" s="44">
        <f t="shared" si="11"/>
        <v>8400</v>
      </c>
      <c r="H35" s="44">
        <f t="shared" si="11"/>
        <v>8400</v>
      </c>
      <c r="I35" s="45">
        <f t="shared" si="11"/>
        <v>8400</v>
      </c>
    </row>
    <row r="36" spans="1:9" x14ac:dyDescent="0.25">
      <c r="A36" s="22" t="s">
        <v>83</v>
      </c>
      <c r="B36" s="13"/>
      <c r="C36" s="8">
        <f>'Cash Flow FY1'!B6</f>
        <v>1500</v>
      </c>
      <c r="D36" s="44">
        <f>'Cash Flow FY2'!B5</f>
        <v>3600</v>
      </c>
      <c r="E36" s="44">
        <f>'Cash Flow FY3'!B5</f>
        <v>3600</v>
      </c>
      <c r="F36" s="44">
        <f>'Cash Flow FY4'!B5</f>
        <v>3600</v>
      </c>
      <c r="G36" s="44">
        <f t="shared" si="11"/>
        <v>3600</v>
      </c>
      <c r="H36" s="44">
        <f t="shared" si="11"/>
        <v>3600</v>
      </c>
      <c r="I36" s="45">
        <f t="shared" si="11"/>
        <v>3600</v>
      </c>
    </row>
    <row r="37" spans="1:9" x14ac:dyDescent="0.25">
      <c r="A37" s="22" t="s">
        <v>26</v>
      </c>
      <c r="B37" s="13"/>
      <c r="C37" s="8">
        <f>'Cash Flow FY1'!B7</f>
        <v>2500</v>
      </c>
      <c r="D37" s="44">
        <f>'Cash Flow FY2'!B6</f>
        <v>6180</v>
      </c>
      <c r="E37" s="44">
        <f>'Cash Flow FY3'!B6</f>
        <v>6180</v>
      </c>
      <c r="F37" s="44">
        <f>'Cash Flow FY4'!B6</f>
        <v>6180</v>
      </c>
      <c r="G37" s="44">
        <f t="shared" si="11"/>
        <v>6180</v>
      </c>
      <c r="H37" s="44">
        <f t="shared" si="11"/>
        <v>6180</v>
      </c>
      <c r="I37" s="45">
        <f t="shared" si="11"/>
        <v>6180</v>
      </c>
    </row>
    <row r="38" spans="1:9" x14ac:dyDescent="0.25">
      <c r="A38" s="22" t="s">
        <v>84</v>
      </c>
      <c r="B38" s="8"/>
      <c r="C38" s="8">
        <f>'Cash Flow FY1'!B8</f>
        <v>4147.2</v>
      </c>
      <c r="D38" s="44">
        <f>'Cash Flow FY2'!B7</f>
        <v>11016.000000000002</v>
      </c>
      <c r="E38" s="44">
        <f>'Cash Flow FY3'!B7</f>
        <v>11768.399999999996</v>
      </c>
      <c r="F38" s="44">
        <f>'Cash Flow FY4'!B7</f>
        <v>12393.000000000002</v>
      </c>
      <c r="G38" s="44"/>
      <c r="H38" s="44"/>
      <c r="I38" s="45"/>
    </row>
    <row r="39" spans="1:9" x14ac:dyDescent="0.25">
      <c r="A39" s="22" t="s">
        <v>28</v>
      </c>
      <c r="B39" s="13"/>
      <c r="C39" s="8">
        <f>'Cash Flow FY1'!B9</f>
        <v>5500</v>
      </c>
      <c r="D39" s="44">
        <f>'Cash Flow FY2'!B8</f>
        <v>2000</v>
      </c>
      <c r="E39" s="44">
        <f>'Cash Flow FY3'!B8</f>
        <v>2000</v>
      </c>
      <c r="F39" s="44">
        <f>'Cash Flow FY4'!B8</f>
        <v>2000</v>
      </c>
      <c r="G39" s="44">
        <f>'Cash Flow FY4'!C8</f>
        <v>0</v>
      </c>
      <c r="H39" s="44">
        <f>'Cash Flow FY4'!D8</f>
        <v>0</v>
      </c>
      <c r="I39" s="44">
        <f>'Cash Flow FY4'!E8</f>
        <v>1000</v>
      </c>
    </row>
    <row r="40" spans="1:9" x14ac:dyDescent="0.25">
      <c r="A40" s="22" t="s">
        <v>29</v>
      </c>
      <c r="B40" s="8"/>
      <c r="C40" s="8">
        <f>'Cash Flow FY1'!B10</f>
        <v>0</v>
      </c>
      <c r="D40" s="44">
        <v>30000</v>
      </c>
      <c r="E40" s="44">
        <v>30000</v>
      </c>
      <c r="F40" s="44">
        <v>30000</v>
      </c>
      <c r="G40" s="39"/>
      <c r="H40" s="39"/>
      <c r="I40" s="25"/>
    </row>
    <row r="41" spans="1:9" x14ac:dyDescent="0.25">
      <c r="A41" s="22" t="s">
        <v>30</v>
      </c>
      <c r="B41" s="8"/>
      <c r="C41" s="8">
        <f>'Cash Flow FY1'!B11</f>
        <v>2000</v>
      </c>
      <c r="D41" s="44">
        <f>'Cash Flow FY2'!B10</f>
        <v>0</v>
      </c>
      <c r="E41" s="44">
        <f>'Cash Flow FY3'!B10</f>
        <v>0</v>
      </c>
      <c r="F41" s="44">
        <f>'Cash Flow FY4'!B10</f>
        <v>0</v>
      </c>
      <c r="G41" s="8">
        <v>600</v>
      </c>
      <c r="H41" s="8">
        <v>600</v>
      </c>
      <c r="I41" s="25">
        <v>600</v>
      </c>
    </row>
    <row r="42" spans="1:9" x14ac:dyDescent="0.25">
      <c r="A42" s="22" t="s">
        <v>31</v>
      </c>
      <c r="B42" s="13"/>
      <c r="C42" s="8">
        <f>'Cash Flow FY1'!B12</f>
        <v>2000</v>
      </c>
      <c r="D42" s="44">
        <f>'Cash Flow FY2'!B11</f>
        <v>0</v>
      </c>
      <c r="E42" s="44">
        <f>'Cash Flow FY3'!B11</f>
        <v>0</v>
      </c>
      <c r="F42" s="44">
        <f>'Cash Flow FY4'!B11</f>
        <v>0</v>
      </c>
      <c r="G42" s="44">
        <f t="shared" ref="G42:I42" si="12">+F42*(100%+$B42)</f>
        <v>0</v>
      </c>
      <c r="H42" s="44">
        <f t="shared" si="12"/>
        <v>0</v>
      </c>
      <c r="I42" s="45">
        <f t="shared" si="12"/>
        <v>0</v>
      </c>
    </row>
    <row r="43" spans="1:9" x14ac:dyDescent="0.25">
      <c r="A43" s="22"/>
      <c r="B43" s="15"/>
      <c r="C43" s="8"/>
      <c r="D43" s="44"/>
      <c r="E43" s="44"/>
      <c r="F43" s="44"/>
      <c r="G43" s="3"/>
      <c r="H43" s="3"/>
      <c r="I43" s="46"/>
    </row>
    <row r="44" spans="1:9" x14ac:dyDescent="0.25">
      <c r="A44" s="22"/>
      <c r="B44" s="15"/>
      <c r="C44" s="8"/>
      <c r="D44" s="44"/>
      <c r="E44" s="44"/>
      <c r="F44" s="3"/>
      <c r="G44" s="3"/>
      <c r="H44" s="3"/>
      <c r="I44" s="46"/>
    </row>
    <row r="45" spans="1:9" x14ac:dyDescent="0.25">
      <c r="A45" s="22"/>
      <c r="B45" s="15"/>
      <c r="C45" s="8"/>
      <c r="D45" s="44"/>
      <c r="E45" s="44"/>
      <c r="F45" s="3"/>
      <c r="G45" s="3"/>
      <c r="H45" s="3"/>
      <c r="I45" s="46"/>
    </row>
    <row r="46" spans="1:9" x14ac:dyDescent="0.25">
      <c r="A46" s="22"/>
      <c r="B46" s="15"/>
      <c r="C46" s="8"/>
      <c r="D46" s="44"/>
      <c r="E46" s="44"/>
      <c r="F46" s="3"/>
      <c r="G46" s="3"/>
      <c r="H46" s="3"/>
      <c r="I46" s="46"/>
    </row>
    <row r="47" spans="1:9" x14ac:dyDescent="0.25">
      <c r="A47" s="41" t="s">
        <v>32</v>
      </c>
      <c r="B47" s="42"/>
      <c r="C47" s="47">
        <f t="shared" ref="C47:I47" si="13">SUM(C33:C43)</f>
        <v>86309.599999999977</v>
      </c>
      <c r="D47" s="47">
        <f t="shared" si="13"/>
        <v>187436</v>
      </c>
      <c r="E47" s="47">
        <f t="shared" si="13"/>
        <v>190048.4</v>
      </c>
      <c r="F47" s="47">
        <f t="shared" si="13"/>
        <v>191656.4</v>
      </c>
      <c r="G47" s="47">
        <f t="shared" si="13"/>
        <v>147863.4</v>
      </c>
      <c r="H47" s="47">
        <f t="shared" si="13"/>
        <v>147863.4</v>
      </c>
      <c r="I47" s="48">
        <f t="shared" si="13"/>
        <v>148863.4</v>
      </c>
    </row>
    <row r="48" spans="1:9" ht="15.75" thickBot="1" x14ac:dyDescent="0.3">
      <c r="A48" s="49" t="s">
        <v>35</v>
      </c>
      <c r="B48" s="50"/>
      <c r="C48" s="51">
        <f t="shared" ref="C48:I48" si="14">C31-C47</f>
        <v>-17189.599999999977</v>
      </c>
      <c r="D48" s="51">
        <f t="shared" si="14"/>
        <v>-3836</v>
      </c>
      <c r="E48" s="51">
        <f t="shared" si="14"/>
        <v>6091.6000000000058</v>
      </c>
      <c r="F48" s="51">
        <f t="shared" si="14"/>
        <v>14893.600000000006</v>
      </c>
      <c r="G48" s="51">
        <f t="shared" si="14"/>
        <v>68886.600000000006</v>
      </c>
      <c r="H48" s="51">
        <f t="shared" si="14"/>
        <v>-131663.4</v>
      </c>
      <c r="I48" s="52">
        <f t="shared" si="14"/>
        <v>-128613.4</v>
      </c>
    </row>
    <row r="49" spans="1:9" x14ac:dyDescent="0.25">
      <c r="A49" t="s">
        <v>33</v>
      </c>
      <c r="C49" s="53">
        <f>C48+C33</f>
        <v>42122.8</v>
      </c>
      <c r="D49" s="53">
        <f t="shared" ref="D49:I49" si="15">D48+D33</f>
        <v>112083.99999999999</v>
      </c>
      <c r="E49" s="53">
        <f t="shared" si="15"/>
        <v>122011.59999999999</v>
      </c>
      <c r="F49" s="53">
        <f t="shared" si="15"/>
        <v>130813.59999999999</v>
      </c>
      <c r="G49" s="53">
        <f t="shared" si="15"/>
        <v>184806.59999999998</v>
      </c>
      <c r="H49" s="53">
        <f t="shared" si="15"/>
        <v>-15743.400000000009</v>
      </c>
      <c r="I49" s="53">
        <f t="shared" si="15"/>
        <v>-12693.400000000009</v>
      </c>
    </row>
    <row r="50" spans="1:9" x14ac:dyDescent="0.25">
      <c r="A50" t="s">
        <v>85</v>
      </c>
      <c r="C50" s="53"/>
      <c r="D50" s="88">
        <f t="shared" ref="D50:I50" si="16">+D49/C5</f>
        <v>4.0610144927536229E-2</v>
      </c>
      <c r="E50" s="88">
        <f t="shared" si="16"/>
        <v>3.5885764705882353E-2</v>
      </c>
      <c r="F50" s="88">
        <f t="shared" si="16"/>
        <v>3.6642464985994397E-2</v>
      </c>
      <c r="G50" s="88">
        <f t="shared" si="16"/>
        <v>4.9301480592236886E-2</v>
      </c>
      <c r="H50" s="88">
        <f t="shared" si="16"/>
        <v>-3.9999237790354263E-3</v>
      </c>
      <c r="I50" s="88">
        <f t="shared" si="16"/>
        <v>-3.0714387039774359E-3</v>
      </c>
    </row>
    <row r="51" spans="1:9" x14ac:dyDescent="0.25">
      <c r="C51" s="53"/>
      <c r="D51" s="53"/>
      <c r="E51" s="53"/>
      <c r="F51" s="53"/>
      <c r="G51" s="4"/>
      <c r="H51" s="4"/>
    </row>
    <row r="52" spans="1:9" x14ac:dyDescent="0.25">
      <c r="G52" s="53"/>
      <c r="H52" s="53"/>
    </row>
    <row r="53" spans="1:9" x14ac:dyDescent="0.25">
      <c r="C53" s="54">
        <v>45748</v>
      </c>
      <c r="D53" s="54">
        <v>46023</v>
      </c>
    </row>
    <row r="54" spans="1:9" x14ac:dyDescent="0.25">
      <c r="A54" t="s">
        <v>86</v>
      </c>
      <c r="C54" t="s">
        <v>87</v>
      </c>
      <c r="D54" t="s">
        <v>88</v>
      </c>
    </row>
    <row r="55" spans="1:9" x14ac:dyDescent="0.25">
      <c r="A55" s="1" t="s">
        <v>89</v>
      </c>
      <c r="B55" s="1"/>
      <c r="C55" s="1">
        <f>SUM(C56:C60)</f>
        <v>135000</v>
      </c>
      <c r="D55" s="1">
        <f>SUM(D56:D64)</f>
        <v>680600</v>
      </c>
      <c r="E55" s="1"/>
      <c r="F55" s="1"/>
    </row>
    <row r="56" spans="1:9" x14ac:dyDescent="0.25">
      <c r="A56" t="s">
        <v>52</v>
      </c>
      <c r="C56">
        <v>5000</v>
      </c>
    </row>
    <row r="57" spans="1:9" x14ac:dyDescent="0.25">
      <c r="A57" t="s">
        <v>90</v>
      </c>
      <c r="C57" s="5">
        <v>100000</v>
      </c>
    </row>
    <row r="58" spans="1:9" x14ac:dyDescent="0.25">
      <c r="A58" t="s">
        <v>51</v>
      </c>
      <c r="C58" s="5">
        <f>C9</f>
        <v>30000</v>
      </c>
    </row>
    <row r="59" spans="1:9" x14ac:dyDescent="0.25">
      <c r="A59" t="s">
        <v>10</v>
      </c>
      <c r="C59" s="5"/>
      <c r="D59" s="7">
        <f>2760000*20%-C57</f>
        <v>452000</v>
      </c>
    </row>
    <row r="60" spans="1:9" x14ac:dyDescent="0.25">
      <c r="A60" t="s">
        <v>91</v>
      </c>
      <c r="D60" s="7">
        <f>C7</f>
        <v>165600</v>
      </c>
    </row>
    <row r="61" spans="1:9" x14ac:dyDescent="0.25">
      <c r="A61" t="s">
        <v>92</v>
      </c>
      <c r="D61" s="7">
        <f>C10</f>
        <v>60000</v>
      </c>
    </row>
    <row r="62" spans="1:9" x14ac:dyDescent="0.25">
      <c r="A62" t="s">
        <v>93</v>
      </c>
      <c r="D62">
        <v>3000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AA678-3386-4F80-AB45-CD705F8AA932}">
  <dimension ref="A1:X36"/>
  <sheetViews>
    <sheetView workbookViewId="0">
      <selection activeCell="B20" sqref="B20"/>
    </sheetView>
  </sheetViews>
  <sheetFormatPr defaultRowHeight="15" x14ac:dyDescent="0.25"/>
  <cols>
    <col min="1" max="1" width="29.85546875" customWidth="1"/>
    <col min="2" max="3" width="18" customWidth="1"/>
    <col min="4" max="4" width="13.5703125" customWidth="1"/>
    <col min="5" max="5" width="12.28515625" customWidth="1"/>
    <col min="6" max="6" width="29.7109375" customWidth="1"/>
    <col min="7" max="7" width="17" customWidth="1"/>
    <col min="10" max="10" width="12.5703125" customWidth="1"/>
    <col min="11" max="11" width="12.140625" customWidth="1"/>
    <col min="12" max="12" width="12.5703125" customWidth="1"/>
    <col min="13" max="13" width="15.5703125" customWidth="1"/>
    <col min="14" max="14" width="12.85546875" customWidth="1"/>
    <col min="15" max="16" width="11.5703125" bestFit="1" customWidth="1"/>
    <col min="17" max="17" width="16.28515625" customWidth="1"/>
    <col min="18" max="18" width="13.28515625" bestFit="1" customWidth="1"/>
    <col min="19" max="19" width="12.42578125" customWidth="1"/>
    <col min="20" max="20" width="14.140625" customWidth="1"/>
  </cols>
  <sheetData>
    <row r="1" spans="1:24" x14ac:dyDescent="0.25">
      <c r="A1" s="227" t="s">
        <v>262</v>
      </c>
      <c r="B1" s="227" t="s">
        <v>263</v>
      </c>
      <c r="C1" s="227" t="s">
        <v>264</v>
      </c>
      <c r="D1" s="227" t="s">
        <v>265</v>
      </c>
      <c r="E1" s="227"/>
    </row>
    <row r="2" spans="1:24" x14ac:dyDescent="0.25">
      <c r="A2" t="s">
        <v>266</v>
      </c>
      <c r="B2" s="5">
        <f>70%*2760000</f>
        <v>1931999.9999999998</v>
      </c>
      <c r="C2" s="5">
        <f>80%*2760000</f>
        <v>2208000</v>
      </c>
      <c r="D2" s="5">
        <f>2760000*70%</f>
        <v>1931999.9999999998</v>
      </c>
      <c r="E2" s="5"/>
      <c r="F2" t="s">
        <v>151</v>
      </c>
      <c r="J2" t="s">
        <v>152</v>
      </c>
    </row>
    <row r="3" spans="1:24" x14ac:dyDescent="0.25">
      <c r="A3" s="8" t="s">
        <v>267</v>
      </c>
      <c r="B3" s="10">
        <f>3150000-B2</f>
        <v>1218000.0000000002</v>
      </c>
      <c r="C3" s="10">
        <f t="shared" ref="C3:D3" si="0">3150000-C2</f>
        <v>942000</v>
      </c>
      <c r="D3" s="10">
        <f t="shared" si="0"/>
        <v>1218000.0000000002</v>
      </c>
      <c r="E3" s="233"/>
      <c r="F3" t="s">
        <v>49</v>
      </c>
      <c r="G3" s="164">
        <f>'7 Yr Valuation &amp; Cashflow'!C5</f>
        <v>2760000</v>
      </c>
      <c r="K3" t="s">
        <v>153</v>
      </c>
      <c r="L3" t="s">
        <v>149</v>
      </c>
      <c r="M3" t="s">
        <v>154</v>
      </c>
      <c r="N3" t="s">
        <v>155</v>
      </c>
      <c r="O3" t="s">
        <v>156</v>
      </c>
      <c r="P3" t="s">
        <v>157</v>
      </c>
      <c r="Q3" t="s">
        <v>158</v>
      </c>
      <c r="R3" t="s">
        <v>159</v>
      </c>
      <c r="S3" t="s">
        <v>160</v>
      </c>
      <c r="T3" t="s">
        <v>161</v>
      </c>
    </row>
    <row r="4" spans="1:24" x14ac:dyDescent="0.25">
      <c r="A4" s="8" t="s">
        <v>268</v>
      </c>
      <c r="B4" s="10"/>
      <c r="C4" s="10"/>
      <c r="D4" s="10"/>
      <c r="E4" s="233"/>
      <c r="F4" t="s">
        <v>162</v>
      </c>
      <c r="G4" s="165">
        <v>7.4999999999999997E-2</v>
      </c>
      <c r="J4" s="108" t="str">
        <f>F6</f>
        <v>LVR 80%</v>
      </c>
      <c r="K4">
        <f>G3*G6</f>
        <v>2208000</v>
      </c>
      <c r="L4" s="168">
        <f>K4*(G$4+G$5)</f>
        <v>231840</v>
      </c>
      <c r="M4" s="168">
        <f>L4*G$9</f>
        <v>347760</v>
      </c>
      <c r="N4">
        <v>-54000</v>
      </c>
      <c r="O4">
        <v>0</v>
      </c>
      <c r="P4" s="53">
        <f>H24</f>
        <v>128250</v>
      </c>
      <c r="Q4">
        <v>66228</v>
      </c>
      <c r="R4">
        <f>SUM(N4:Q4)</f>
        <v>140478</v>
      </c>
      <c r="S4" s="7">
        <f>M4-R4</f>
        <v>207282</v>
      </c>
      <c r="T4">
        <v>350000</v>
      </c>
    </row>
    <row r="5" spans="1:24" x14ac:dyDescent="0.25">
      <c r="A5" s="8" t="s">
        <v>276</v>
      </c>
      <c r="B5" s="10">
        <v>0</v>
      </c>
      <c r="C5" s="10">
        <v>0</v>
      </c>
      <c r="D5" s="10">
        <v>5.4999999999999997E-3</v>
      </c>
      <c r="E5" s="233"/>
      <c r="F5" t="s">
        <v>163</v>
      </c>
      <c r="G5" s="165">
        <v>0.03</v>
      </c>
      <c r="J5" s="108" t="str">
        <f>F7</f>
        <v>LVR 70%</v>
      </c>
      <c r="K5">
        <f>G3*G7</f>
        <v>1931999.9999999998</v>
      </c>
      <c r="L5" s="168">
        <f t="shared" ref="L5:L6" si="1">K5*(G$4+G$5)</f>
        <v>202859.99999999997</v>
      </c>
      <c r="M5" s="168">
        <f>L5*G$9</f>
        <v>304289.99999999994</v>
      </c>
      <c r="N5">
        <v>-54000</v>
      </c>
      <c r="O5">
        <v>0</v>
      </c>
      <c r="P5" s="53">
        <f>G$24</f>
        <v>120042</v>
      </c>
      <c r="Q5">
        <v>66228</v>
      </c>
      <c r="R5">
        <f t="shared" ref="R5:R6" si="2">SUM(N5:Q5)</f>
        <v>132270</v>
      </c>
      <c r="S5" s="7">
        <f t="shared" ref="S5:S6" si="3">M5-R5</f>
        <v>172019.99999999994</v>
      </c>
      <c r="T5">
        <v>265000</v>
      </c>
    </row>
    <row r="6" spans="1:24" x14ac:dyDescent="0.25">
      <c r="A6" s="8" t="s">
        <v>269</v>
      </c>
      <c r="B6" s="228">
        <v>4.7499999999999999E-3</v>
      </c>
      <c r="C6" s="229">
        <v>4.7499999999999999E-3</v>
      </c>
      <c r="D6" s="229">
        <v>6.0000000000000001E-3</v>
      </c>
      <c r="E6" s="234"/>
      <c r="F6" t="s">
        <v>164</v>
      </c>
      <c r="G6" s="166">
        <v>0.8</v>
      </c>
      <c r="J6" s="108" t="str">
        <f>F8</f>
        <v>LVR 65%</v>
      </c>
      <c r="K6">
        <f>G3*G8</f>
        <v>1794000</v>
      </c>
      <c r="L6" s="168">
        <f t="shared" si="1"/>
        <v>188370</v>
      </c>
      <c r="M6" s="168">
        <f>L6*G$9</f>
        <v>282555</v>
      </c>
      <c r="N6" s="7">
        <v>-54000</v>
      </c>
      <c r="O6">
        <v>0</v>
      </c>
      <c r="P6" s="53">
        <f>G$24</f>
        <v>120042</v>
      </c>
      <c r="Q6">
        <v>66228</v>
      </c>
      <c r="R6">
        <f t="shared" si="2"/>
        <v>132270</v>
      </c>
      <c r="S6" s="7">
        <f t="shared" si="3"/>
        <v>150285</v>
      </c>
      <c r="T6">
        <v>225000</v>
      </c>
    </row>
    <row r="7" spans="1:24" x14ac:dyDescent="0.25">
      <c r="A7" s="8" t="s">
        <v>270</v>
      </c>
      <c r="B7" s="230">
        <v>1E-3</v>
      </c>
      <c r="C7" s="230">
        <v>1E-3</v>
      </c>
      <c r="D7" s="231">
        <v>0</v>
      </c>
      <c r="E7" s="235"/>
      <c r="F7" t="s">
        <v>103</v>
      </c>
      <c r="G7" s="166">
        <v>0.7</v>
      </c>
    </row>
    <row r="8" spans="1:24" x14ac:dyDescent="0.25">
      <c r="A8" s="8" t="s">
        <v>271</v>
      </c>
      <c r="B8" s="10">
        <v>495</v>
      </c>
      <c r="C8" s="10">
        <v>495</v>
      </c>
      <c r="D8" s="10">
        <v>1000</v>
      </c>
      <c r="E8" s="233"/>
      <c r="F8" t="s">
        <v>165</v>
      </c>
      <c r="G8" s="166">
        <v>0.65</v>
      </c>
    </row>
    <row r="9" spans="1:24" x14ac:dyDescent="0.25">
      <c r="A9" s="8" t="s">
        <v>272</v>
      </c>
      <c r="B9" s="229">
        <v>8.3333333333333329E-2</v>
      </c>
      <c r="C9" s="229">
        <v>8.3333333333333329E-2</v>
      </c>
      <c r="D9" s="10">
        <v>0</v>
      </c>
      <c r="E9" s="233"/>
      <c r="F9" t="s">
        <v>166</v>
      </c>
      <c r="G9" s="167">
        <v>1.5</v>
      </c>
    </row>
    <row r="10" spans="1:24" x14ac:dyDescent="0.25">
      <c r="A10" s="8" t="s">
        <v>231</v>
      </c>
      <c r="B10" s="232">
        <v>7.6899999999999996E-2</v>
      </c>
      <c r="C10" s="232">
        <v>8.1699999999999995E-2</v>
      </c>
      <c r="D10" s="232">
        <v>6.1400000000000003E-2</v>
      </c>
      <c r="E10" s="236"/>
      <c r="F10" t="s">
        <v>167</v>
      </c>
      <c r="G10" s="166">
        <v>0.9</v>
      </c>
      <c r="I10" s="176"/>
      <c r="J10" s="176"/>
      <c r="K10" s="176"/>
      <c r="L10" s="176"/>
      <c r="M10" s="176"/>
      <c r="N10" s="176"/>
      <c r="O10" s="176"/>
      <c r="P10" s="176"/>
      <c r="Q10" s="176"/>
      <c r="R10" s="176"/>
      <c r="S10" s="176"/>
      <c r="T10" s="176"/>
      <c r="U10" s="176"/>
      <c r="V10" s="176"/>
      <c r="W10" s="176"/>
      <c r="X10" s="176"/>
    </row>
    <row r="11" spans="1:24" x14ac:dyDescent="0.25">
      <c r="A11" s="8" t="s">
        <v>273</v>
      </c>
      <c r="B11" s="10">
        <f>+B10*B2</f>
        <v>148570.79999999999</v>
      </c>
      <c r="C11" s="10">
        <f t="shared" ref="C11:D11" si="4">+C10*C2</f>
        <v>180393.59999999998</v>
      </c>
      <c r="D11" s="10">
        <f t="shared" si="4"/>
        <v>118624.79999999999</v>
      </c>
      <c r="E11" s="233"/>
      <c r="F11" t="s">
        <v>168</v>
      </c>
      <c r="G11" s="166">
        <v>0.05</v>
      </c>
      <c r="I11" s="176"/>
      <c r="J11" s="176"/>
      <c r="K11" s="176"/>
      <c r="L11" s="176"/>
      <c r="M11" s="176"/>
      <c r="N11" s="176"/>
      <c r="O11" s="176"/>
      <c r="P11" s="176"/>
      <c r="Q11" s="176"/>
      <c r="R11" s="176"/>
      <c r="S11" s="176"/>
      <c r="T11" s="176"/>
      <c r="U11" s="176"/>
      <c r="V11" s="176"/>
      <c r="W11" s="176"/>
      <c r="X11" s="176"/>
    </row>
    <row r="12" spans="1:24" ht="30" x14ac:dyDescent="0.25">
      <c r="A12" s="8" t="s">
        <v>274</v>
      </c>
      <c r="B12" s="10"/>
      <c r="C12" s="10"/>
      <c r="D12" s="10"/>
      <c r="E12" s="233"/>
      <c r="F12" s="151" t="s">
        <v>169</v>
      </c>
      <c r="G12" s="167">
        <v>4500</v>
      </c>
      <c r="I12" s="176"/>
      <c r="J12" s="176"/>
      <c r="K12" s="176"/>
      <c r="L12" s="107"/>
      <c r="M12" s="176"/>
      <c r="N12" s="176"/>
      <c r="O12" s="176"/>
      <c r="P12" s="176"/>
      <c r="Q12" s="176"/>
      <c r="R12" s="176"/>
      <c r="S12" s="176"/>
      <c r="T12" s="176"/>
      <c r="U12" s="176"/>
      <c r="V12" s="176"/>
      <c r="W12" s="176"/>
      <c r="X12" s="176"/>
    </row>
    <row r="13" spans="1:24" x14ac:dyDescent="0.25">
      <c r="A13" s="8" t="s">
        <v>276</v>
      </c>
      <c r="B13" s="10">
        <f>+B5*B2</f>
        <v>0</v>
      </c>
      <c r="C13" s="10">
        <f t="shared" ref="C13" si="5">+C5*C2</f>
        <v>0</v>
      </c>
      <c r="D13" s="10">
        <f>0.005*D2</f>
        <v>9659.9999999999982</v>
      </c>
      <c r="E13" s="233"/>
      <c r="I13" s="176"/>
      <c r="J13" s="176"/>
      <c r="K13" s="176"/>
      <c r="L13" s="107"/>
      <c r="M13" s="176"/>
      <c r="N13" s="176"/>
      <c r="O13" s="176"/>
      <c r="P13" s="176"/>
      <c r="Q13" s="176"/>
      <c r="R13" s="176"/>
      <c r="S13" s="176"/>
      <c r="T13" s="176"/>
      <c r="U13" s="176"/>
      <c r="V13" s="176"/>
      <c r="W13" s="176"/>
      <c r="X13" s="176"/>
    </row>
    <row r="14" spans="1:24" x14ac:dyDescent="0.25">
      <c r="A14" s="8" t="s">
        <v>269</v>
      </c>
      <c r="B14" s="10">
        <f>+B6*B2</f>
        <v>9176.9999999999982</v>
      </c>
      <c r="C14" s="10">
        <f t="shared" ref="C14:D14" si="6">+C6*C2</f>
        <v>10488</v>
      </c>
      <c r="D14" s="10">
        <f t="shared" si="6"/>
        <v>11591.999999999998</v>
      </c>
      <c r="E14" s="233"/>
      <c r="I14" s="176"/>
      <c r="J14" s="176"/>
      <c r="K14" s="176"/>
      <c r="L14" s="107"/>
      <c r="M14" s="176"/>
      <c r="N14" s="176"/>
      <c r="O14" s="176"/>
      <c r="P14" s="176"/>
      <c r="Q14" s="176"/>
      <c r="R14" s="176"/>
      <c r="S14" s="176"/>
      <c r="T14" s="176"/>
      <c r="U14" s="176"/>
      <c r="V14" s="176"/>
      <c r="W14" s="176"/>
      <c r="X14" s="176"/>
    </row>
    <row r="15" spans="1:24" x14ac:dyDescent="0.25">
      <c r="A15" s="8" t="s">
        <v>270</v>
      </c>
      <c r="B15" s="10">
        <f>+B7*B2</f>
        <v>1931.9999999999998</v>
      </c>
      <c r="C15" s="10">
        <f t="shared" ref="C15:D15" si="7">+C7*C2</f>
        <v>2208</v>
      </c>
      <c r="D15" s="10">
        <f t="shared" si="7"/>
        <v>0</v>
      </c>
      <c r="E15" s="233"/>
      <c r="F15" t="s">
        <v>170</v>
      </c>
      <c r="I15" s="176"/>
      <c r="J15" s="176"/>
      <c r="K15" s="176"/>
      <c r="L15" s="176"/>
      <c r="M15" s="176"/>
      <c r="N15" s="176"/>
      <c r="O15" s="176"/>
      <c r="P15" s="176"/>
      <c r="Q15" s="176"/>
      <c r="R15" s="176"/>
      <c r="S15" s="176"/>
      <c r="T15" s="176"/>
      <c r="U15" s="176"/>
      <c r="V15" s="176"/>
      <c r="W15" s="176"/>
      <c r="X15" s="176"/>
    </row>
    <row r="16" spans="1:24" x14ac:dyDescent="0.25">
      <c r="A16" s="8" t="s">
        <v>271</v>
      </c>
      <c r="B16" s="10">
        <f>B8</f>
        <v>495</v>
      </c>
      <c r="C16" s="10">
        <f t="shared" ref="C16:D16" si="8">C8</f>
        <v>495</v>
      </c>
      <c r="D16" s="10">
        <f t="shared" si="8"/>
        <v>1000</v>
      </c>
      <c r="E16" s="233"/>
      <c r="F16" t="s">
        <v>171</v>
      </c>
      <c r="G16" s="163">
        <f>+G12*12</f>
        <v>54000</v>
      </c>
      <c r="I16" s="176"/>
      <c r="J16" s="176"/>
      <c r="K16" s="176"/>
      <c r="L16" s="176"/>
      <c r="M16" s="176"/>
      <c r="N16" s="176"/>
      <c r="O16" s="176"/>
      <c r="P16" s="176"/>
      <c r="Q16" s="176"/>
      <c r="R16" s="176"/>
      <c r="S16" s="176"/>
      <c r="T16" s="176"/>
      <c r="U16" s="176"/>
      <c r="V16" s="176"/>
      <c r="W16" s="176"/>
      <c r="X16" s="176"/>
    </row>
    <row r="17" spans="1:24" x14ac:dyDescent="0.25">
      <c r="A17" s="8" t="s">
        <v>272</v>
      </c>
      <c r="B17" s="10">
        <f>B2*B10*B9</f>
        <v>12380.899999999998</v>
      </c>
      <c r="C17" s="10">
        <f t="shared" ref="C17:D17" si="9">C2*C10*C9</f>
        <v>15032.799999999997</v>
      </c>
      <c r="D17" s="10">
        <f t="shared" si="9"/>
        <v>0</v>
      </c>
      <c r="E17" s="233"/>
      <c r="F17" t="s">
        <v>172</v>
      </c>
      <c r="I17" s="176"/>
      <c r="J17" s="176"/>
      <c r="K17" s="176"/>
      <c r="L17" s="176"/>
      <c r="M17" s="176"/>
      <c r="N17" s="176"/>
      <c r="O17" s="176"/>
      <c r="P17" s="176"/>
      <c r="Q17" s="176"/>
      <c r="R17" s="176"/>
      <c r="S17" s="176"/>
      <c r="T17" s="176"/>
      <c r="U17" s="176"/>
      <c r="V17" s="176"/>
      <c r="W17" s="176"/>
      <c r="X17" s="176"/>
    </row>
    <row r="18" spans="1:24" x14ac:dyDescent="0.25">
      <c r="A18" s="8"/>
      <c r="B18" s="10"/>
      <c r="C18" s="10"/>
      <c r="D18" s="10"/>
      <c r="E18" s="233"/>
      <c r="F18" t="s">
        <v>173</v>
      </c>
      <c r="G18">
        <f>6900*12</f>
        <v>82800</v>
      </c>
      <c r="I18" s="176"/>
      <c r="J18" s="176"/>
      <c r="K18" s="176"/>
      <c r="L18" s="107"/>
      <c r="M18" s="176"/>
      <c r="N18" s="176"/>
      <c r="O18" s="177"/>
      <c r="P18" s="178"/>
      <c r="Q18" s="178"/>
      <c r="R18" s="177"/>
      <c r="S18" s="179"/>
      <c r="T18" s="177"/>
      <c r="U18" s="176"/>
      <c r="V18" s="176"/>
      <c r="W18" s="176"/>
      <c r="X18" s="176"/>
    </row>
    <row r="19" spans="1:24" x14ac:dyDescent="0.25">
      <c r="A19" s="8"/>
      <c r="B19" s="10"/>
      <c r="C19" s="10"/>
      <c r="D19" s="10"/>
      <c r="E19" s="233"/>
      <c r="F19" t="s">
        <v>96</v>
      </c>
      <c r="G19" s="163">
        <f>SUM(G16:G18)</f>
        <v>136800</v>
      </c>
      <c r="I19" s="176"/>
      <c r="J19" s="176"/>
      <c r="K19" s="176"/>
      <c r="L19" s="107"/>
      <c r="M19" s="176"/>
      <c r="N19" s="176"/>
      <c r="O19" s="177"/>
      <c r="P19" s="178"/>
      <c r="Q19" s="178"/>
      <c r="R19" s="177"/>
      <c r="S19" s="179"/>
      <c r="T19" s="176"/>
      <c r="U19" s="176"/>
      <c r="V19" s="176"/>
      <c r="W19" s="176"/>
      <c r="X19" s="176"/>
    </row>
    <row r="20" spans="1:24" x14ac:dyDescent="0.25">
      <c r="A20" s="8" t="s">
        <v>275</v>
      </c>
      <c r="B20" s="10">
        <f>SUM(B13:B19)</f>
        <v>23984.899999999994</v>
      </c>
      <c r="C20" s="10">
        <f>SUM(C13:C19)</f>
        <v>28223.799999999996</v>
      </c>
      <c r="D20" s="10">
        <f>SUM(D13:D19)</f>
        <v>22251.999999999996</v>
      </c>
      <c r="E20" s="233"/>
      <c r="I20" s="176"/>
      <c r="J20" s="176"/>
      <c r="K20" s="176"/>
      <c r="L20" s="107"/>
      <c r="M20" s="176"/>
      <c r="N20" s="176"/>
      <c r="O20" s="177"/>
      <c r="P20" s="178"/>
      <c r="Q20" s="178"/>
      <c r="R20" s="177"/>
      <c r="S20" s="179"/>
      <c r="T20" s="176"/>
      <c r="U20" s="176"/>
      <c r="V20" s="176"/>
      <c r="W20" s="176"/>
      <c r="X20" s="176"/>
    </row>
    <row r="21" spans="1:24" x14ac:dyDescent="0.25">
      <c r="B21" s="5"/>
      <c r="C21" s="5"/>
      <c r="D21" s="5"/>
      <c r="E21" s="5"/>
      <c r="F21" t="s">
        <v>174</v>
      </c>
      <c r="G21">
        <v>270</v>
      </c>
      <c r="H21">
        <v>290</v>
      </c>
      <c r="I21" s="176"/>
      <c r="J21" s="176"/>
      <c r="K21" s="176"/>
      <c r="L21" s="176"/>
      <c r="M21" s="176"/>
      <c r="N21" s="176"/>
      <c r="O21" s="176"/>
      <c r="P21" s="176"/>
      <c r="Q21" s="176"/>
      <c r="R21" s="176"/>
      <c r="S21" s="176"/>
      <c r="T21" s="176"/>
      <c r="U21" s="176"/>
      <c r="V21" s="176"/>
      <c r="W21" s="176"/>
      <c r="X21" s="176"/>
    </row>
    <row r="22" spans="1:24" x14ac:dyDescent="0.25">
      <c r="B22" s="5"/>
      <c r="C22" s="5"/>
      <c r="D22" s="5"/>
      <c r="E22" s="5"/>
      <c r="F22" s="175" t="s">
        <v>175</v>
      </c>
      <c r="G22" s="175">
        <v>140400</v>
      </c>
      <c r="H22">
        <v>150000</v>
      </c>
      <c r="I22" s="176"/>
      <c r="J22" s="176"/>
      <c r="K22" s="176"/>
      <c r="L22" s="176"/>
      <c r="M22" s="176"/>
      <c r="N22" s="176"/>
      <c r="O22" s="176"/>
      <c r="P22" s="176"/>
      <c r="Q22" s="176"/>
      <c r="R22" s="176"/>
      <c r="S22" s="176"/>
      <c r="T22" s="176"/>
      <c r="U22" s="176"/>
      <c r="V22" s="176"/>
      <c r="W22" s="176"/>
      <c r="X22" s="176"/>
    </row>
    <row r="23" spans="1:24" ht="30" x14ac:dyDescent="0.25">
      <c r="B23" s="5"/>
      <c r="C23" s="5"/>
      <c r="D23" s="5"/>
      <c r="E23" s="5"/>
      <c r="F23" s="170" t="s">
        <v>176</v>
      </c>
      <c r="G23" s="171">
        <f>G22*(100%-G11)</f>
        <v>133380</v>
      </c>
      <c r="H23">
        <f>+H22*(100%-G11)</f>
        <v>142500</v>
      </c>
      <c r="I23" s="176"/>
      <c r="J23" s="176"/>
      <c r="K23" s="176"/>
      <c r="L23" s="176"/>
      <c r="M23" s="176"/>
      <c r="N23" s="176"/>
      <c r="O23" s="176"/>
      <c r="P23" s="176"/>
      <c r="Q23" s="176"/>
      <c r="R23" s="176"/>
      <c r="S23" s="176"/>
      <c r="T23" s="176"/>
      <c r="U23" s="176"/>
      <c r="V23" s="176"/>
      <c r="W23" s="176"/>
      <c r="X23" s="176"/>
    </row>
    <row r="24" spans="1:24" x14ac:dyDescent="0.25">
      <c r="F24" s="170" t="s">
        <v>177</v>
      </c>
      <c r="G24" s="173">
        <f>G23*G10</f>
        <v>120042</v>
      </c>
      <c r="H24">
        <f>H23*G10</f>
        <v>128250</v>
      </c>
    </row>
    <row r="27" spans="1:24" x14ac:dyDescent="0.25">
      <c r="F27" s="169"/>
      <c r="G27" s="169"/>
    </row>
    <row r="28" spans="1:24" x14ac:dyDescent="0.25">
      <c r="F28" s="170"/>
      <c r="G28" s="171"/>
    </row>
    <row r="29" spans="1:24" x14ac:dyDescent="0.25">
      <c r="F29" s="170"/>
      <c r="G29" s="171"/>
    </row>
    <row r="30" spans="1:24" x14ac:dyDescent="0.25">
      <c r="F30" s="170"/>
      <c r="G30" s="171"/>
    </row>
    <row r="31" spans="1:24" x14ac:dyDescent="0.25">
      <c r="F31" s="170"/>
      <c r="G31" s="170"/>
    </row>
    <row r="32" spans="1:24" x14ac:dyDescent="0.25">
      <c r="F32" s="170"/>
      <c r="G32" s="170"/>
    </row>
    <row r="33" spans="6:7" x14ac:dyDescent="0.25">
      <c r="F33" s="172"/>
      <c r="G33" s="173"/>
    </row>
    <row r="34" spans="6:7" x14ac:dyDescent="0.25">
      <c r="F34" s="170"/>
      <c r="G34" s="173"/>
    </row>
    <row r="35" spans="6:7" x14ac:dyDescent="0.25">
      <c r="F35" s="172"/>
      <c r="G35" s="173"/>
    </row>
    <row r="36" spans="6:7" x14ac:dyDescent="0.25">
      <c r="F36" s="17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9D80C-EF4F-46AE-B480-9ABF68F7B750}">
  <dimension ref="A1:M103"/>
  <sheetViews>
    <sheetView zoomScale="130" zoomScaleNormal="100" workbookViewId="0">
      <pane xSplit="1" ySplit="2" topLeftCell="D56" activePane="bottomRight" state="frozen"/>
      <selection activeCell="A22" sqref="A22"/>
      <selection pane="topRight" activeCell="A22" sqref="A22"/>
      <selection pane="bottomLeft" activeCell="A22" sqref="A22"/>
      <selection pane="bottomRight" activeCell="A22" sqref="A22"/>
    </sheetView>
  </sheetViews>
  <sheetFormatPr defaultRowHeight="15" x14ac:dyDescent="0.25"/>
  <cols>
    <col min="1" max="1" width="29.140625" customWidth="1"/>
    <col min="2" max="2" width="10" customWidth="1"/>
    <col min="3" max="3" width="11.85546875" customWidth="1"/>
    <col min="4" max="4" width="12.85546875" customWidth="1"/>
    <col min="5" max="5" width="14.5703125" customWidth="1"/>
    <col min="6" max="7" width="12.28515625" customWidth="1"/>
    <col min="8" max="8" width="11.42578125" hidden="1" customWidth="1"/>
    <col min="9" max="9" width="12.5703125" hidden="1" customWidth="1"/>
    <col min="10" max="10" width="8" customWidth="1"/>
    <col min="11" max="11" width="33.42578125" customWidth="1"/>
    <col min="12" max="12" width="15.7109375" customWidth="1"/>
    <col min="13" max="13" width="11" customWidth="1"/>
  </cols>
  <sheetData>
    <row r="1" spans="1:13" x14ac:dyDescent="0.25">
      <c r="A1" s="16" t="s">
        <v>0</v>
      </c>
      <c r="B1" s="17"/>
      <c r="C1" s="17">
        <v>1</v>
      </c>
      <c r="D1" s="17">
        <v>2</v>
      </c>
      <c r="E1" s="17">
        <v>3</v>
      </c>
      <c r="F1" s="17">
        <v>4</v>
      </c>
      <c r="G1" s="17">
        <v>5</v>
      </c>
      <c r="H1" s="17">
        <v>6</v>
      </c>
      <c r="I1" s="18">
        <v>7</v>
      </c>
    </row>
    <row r="2" spans="1:13" x14ac:dyDescent="0.25">
      <c r="A2" s="19" t="s">
        <v>61</v>
      </c>
      <c r="B2" s="20"/>
      <c r="C2" s="20">
        <v>2026</v>
      </c>
      <c r="D2" s="20">
        <v>2027</v>
      </c>
      <c r="E2" s="20">
        <v>2028</v>
      </c>
      <c r="F2" s="20">
        <v>2029</v>
      </c>
      <c r="G2" s="20">
        <v>2030</v>
      </c>
      <c r="H2" s="20">
        <v>2031</v>
      </c>
      <c r="I2" s="21">
        <v>2032</v>
      </c>
    </row>
    <row r="3" spans="1:13" x14ac:dyDescent="0.25">
      <c r="A3" s="22" t="s">
        <v>16</v>
      </c>
      <c r="B3" s="8"/>
      <c r="C3" s="13"/>
      <c r="D3" s="12">
        <f>(D5-C5)/C5</f>
        <v>0.37681159420289856</v>
      </c>
      <c r="E3" s="13">
        <v>0.05</v>
      </c>
      <c r="F3" s="13">
        <v>0.05</v>
      </c>
      <c r="G3" s="13">
        <v>0.05</v>
      </c>
      <c r="H3" s="13">
        <v>0.05</v>
      </c>
      <c r="I3" s="23">
        <v>0.05</v>
      </c>
    </row>
    <row r="4" spans="1:13" x14ac:dyDescent="0.25">
      <c r="A4" s="22" t="s">
        <v>62</v>
      </c>
      <c r="B4" s="8"/>
      <c r="C4" s="10">
        <f t="shared" ref="C4:I4" si="0">+C5/2</f>
        <v>1380000</v>
      </c>
      <c r="D4" s="10">
        <f t="shared" si="0"/>
        <v>1900000</v>
      </c>
      <c r="E4" s="10">
        <f t="shared" si="0"/>
        <v>1995000</v>
      </c>
      <c r="F4" s="10">
        <f t="shared" si="0"/>
        <v>2094750</v>
      </c>
      <c r="G4" s="10">
        <f t="shared" si="0"/>
        <v>2199487.5</v>
      </c>
      <c r="H4" s="10">
        <f t="shared" si="0"/>
        <v>2309461.875</v>
      </c>
      <c r="I4" s="24">
        <f t="shared" si="0"/>
        <v>2424934.96875</v>
      </c>
      <c r="K4" s="237" t="s">
        <v>238</v>
      </c>
      <c r="L4" s="237" t="s">
        <v>278</v>
      </c>
    </row>
    <row r="5" spans="1:13" x14ac:dyDescent="0.25">
      <c r="A5" s="22" t="s">
        <v>1</v>
      </c>
      <c r="B5" s="8"/>
      <c r="C5" s="10">
        <v>2760000</v>
      </c>
      <c r="D5" s="10">
        <f>1900000*2</f>
        <v>3800000</v>
      </c>
      <c r="E5" s="10">
        <f>+D5*(100%+E3)</f>
        <v>3990000</v>
      </c>
      <c r="F5" s="10">
        <f t="shared" ref="F5:I5" si="1">+E5*(100%+F3)</f>
        <v>4189500</v>
      </c>
      <c r="G5" s="10">
        <f t="shared" si="1"/>
        <v>4398975</v>
      </c>
      <c r="H5" s="10">
        <f t="shared" si="1"/>
        <v>4618923.75</v>
      </c>
      <c r="I5" s="24">
        <f t="shared" si="1"/>
        <v>4849869.9375</v>
      </c>
      <c r="K5" t="s">
        <v>10</v>
      </c>
      <c r="L5" s="7">
        <f>C5*30%</f>
        <v>828000</v>
      </c>
    </row>
    <row r="6" spans="1:13" x14ac:dyDescent="0.25">
      <c r="A6" s="22" t="s">
        <v>63</v>
      </c>
      <c r="B6" s="8"/>
      <c r="C6" s="10"/>
      <c r="D6" s="10">
        <f t="shared" ref="D6:I6" si="2">+D5-C5</f>
        <v>1040000</v>
      </c>
      <c r="E6" s="10">
        <f t="shared" si="2"/>
        <v>190000</v>
      </c>
      <c r="F6" s="10">
        <f t="shared" si="2"/>
        <v>199500</v>
      </c>
      <c r="G6" s="10">
        <f t="shared" si="2"/>
        <v>209475</v>
      </c>
      <c r="H6" s="10">
        <f t="shared" si="2"/>
        <v>219948.75</v>
      </c>
      <c r="I6" s="24">
        <f t="shared" si="2"/>
        <v>230946.1875</v>
      </c>
      <c r="K6" t="s">
        <v>277</v>
      </c>
      <c r="L6" s="7">
        <f>'Capital Stack'!B9-'7 Yr Valuation &amp; Cashflow'!L5-'Capital Stack'!B13</f>
        <v>371892.00000000023</v>
      </c>
    </row>
    <row r="7" spans="1:13" x14ac:dyDescent="0.25">
      <c r="A7" s="22" t="s">
        <v>2</v>
      </c>
      <c r="B7" s="8"/>
      <c r="C7" s="10">
        <f>C5*6%</f>
        <v>165600</v>
      </c>
      <c r="D7" s="10"/>
      <c r="E7" s="10"/>
      <c r="F7" s="8"/>
      <c r="G7" s="8"/>
      <c r="H7" s="8"/>
      <c r="I7" s="25"/>
    </row>
    <row r="8" spans="1:13" x14ac:dyDescent="0.25">
      <c r="A8" s="26" t="s">
        <v>3</v>
      </c>
      <c r="B8" s="12"/>
      <c r="C8" s="10">
        <v>15000</v>
      </c>
      <c r="D8" s="10"/>
      <c r="E8" s="10"/>
      <c r="F8" s="8"/>
      <c r="G8" s="8"/>
      <c r="H8" s="8"/>
      <c r="I8" s="25"/>
      <c r="K8" t="s">
        <v>243</v>
      </c>
      <c r="L8" s="7">
        <f>SUM(L5:L7)</f>
        <v>1199892.0000000002</v>
      </c>
    </row>
    <row r="9" spans="1:13" x14ac:dyDescent="0.25">
      <c r="A9" s="22" t="s">
        <v>4</v>
      </c>
      <c r="B9" s="8"/>
      <c r="C9" s="10">
        <v>40000</v>
      </c>
      <c r="D9" s="10"/>
      <c r="E9" s="10"/>
      <c r="F9" s="8"/>
      <c r="G9" s="8"/>
      <c r="H9" s="8"/>
      <c r="I9" s="25"/>
      <c r="K9" t="s">
        <v>212</v>
      </c>
      <c r="L9" s="5">
        <f>+'Capital Stack'!B13</f>
        <v>1931999.9999999998</v>
      </c>
    </row>
    <row r="10" spans="1:13" x14ac:dyDescent="0.25">
      <c r="A10" s="22" t="s">
        <v>5</v>
      </c>
      <c r="B10" s="8"/>
      <c r="C10" s="10">
        <f>150000+30000</f>
        <v>180000</v>
      </c>
      <c r="D10" s="10"/>
      <c r="E10" s="10"/>
      <c r="F10" s="8"/>
      <c r="G10" s="8"/>
      <c r="H10" s="8"/>
      <c r="I10" s="25"/>
      <c r="K10" s="82" t="s">
        <v>279</v>
      </c>
      <c r="L10" s="238">
        <f>SUM(L8:L9)</f>
        <v>3131892</v>
      </c>
    </row>
    <row r="11" spans="1:13" x14ac:dyDescent="0.25">
      <c r="A11" s="22" t="s">
        <v>282</v>
      </c>
      <c r="B11" s="8"/>
      <c r="C11" s="10">
        <f>'Senior Funding Model'!D20</f>
        <v>22251.999999999996</v>
      </c>
      <c r="D11" s="10"/>
      <c r="E11" s="10"/>
      <c r="F11" s="8"/>
      <c r="G11" s="8"/>
      <c r="H11" s="8"/>
      <c r="I11" s="25"/>
      <c r="K11" s="82"/>
      <c r="L11" s="238"/>
    </row>
    <row r="12" spans="1:13" x14ac:dyDescent="0.25">
      <c r="A12" s="22" t="s">
        <v>6</v>
      </c>
      <c r="B12" s="8"/>
      <c r="C12" s="10">
        <f>SUM(C5:C11)</f>
        <v>3182852</v>
      </c>
      <c r="D12" s="10"/>
      <c r="E12" s="10"/>
      <c r="F12" s="8"/>
      <c r="G12" s="8"/>
      <c r="H12" s="8"/>
      <c r="I12" s="25"/>
      <c r="L12" t="s">
        <v>202</v>
      </c>
      <c r="M12" t="s">
        <v>230</v>
      </c>
    </row>
    <row r="13" spans="1:13" x14ac:dyDescent="0.25">
      <c r="A13" s="22"/>
      <c r="B13" s="8"/>
      <c r="C13" s="10"/>
      <c r="D13" s="10"/>
      <c r="E13" s="10"/>
      <c r="F13" s="8"/>
      <c r="G13" s="8"/>
      <c r="H13" s="8"/>
      <c r="I13" s="25"/>
      <c r="K13" t="s">
        <v>366</v>
      </c>
      <c r="L13" s="5">
        <v>800000</v>
      </c>
      <c r="M13" s="14">
        <f>+(L13/850000)*0.45</f>
        <v>0.42352941176470588</v>
      </c>
    </row>
    <row r="14" spans="1:13" x14ac:dyDescent="0.25">
      <c r="A14" s="22" t="s">
        <v>67</v>
      </c>
      <c r="B14" s="8"/>
      <c r="C14" s="10">
        <f>C5*70%</f>
        <v>1931999.9999999998</v>
      </c>
      <c r="D14" s="10">
        <f>C14</f>
        <v>1931999.9999999998</v>
      </c>
      <c r="E14" s="10">
        <f>E5*70%</f>
        <v>2793000</v>
      </c>
      <c r="F14" s="10">
        <f>F5*70%</f>
        <v>2932650</v>
      </c>
      <c r="G14" s="10">
        <f>G5*70%</f>
        <v>3079282.5</v>
      </c>
      <c r="H14" s="10">
        <f>H5*70%</f>
        <v>3233246.625</v>
      </c>
      <c r="I14" s="10">
        <f>I5*70%</f>
        <v>3394908.9562499998</v>
      </c>
      <c r="K14" t="s">
        <v>365</v>
      </c>
      <c r="L14" s="7">
        <f>+L8-L13</f>
        <v>399892.00000000023</v>
      </c>
      <c r="M14" s="88">
        <v>0.18</v>
      </c>
    </row>
    <row r="15" spans="1:13" x14ac:dyDescent="0.25">
      <c r="A15" s="22" t="s">
        <v>178</v>
      </c>
      <c r="B15" s="8"/>
      <c r="C15" s="10">
        <f>L8</f>
        <v>1199892.0000000002</v>
      </c>
      <c r="D15" s="10">
        <f>C15</f>
        <v>1199892.0000000002</v>
      </c>
      <c r="E15" s="10">
        <f>D15</f>
        <v>1199892.0000000002</v>
      </c>
      <c r="F15" s="10">
        <f>E15</f>
        <v>1199892.0000000002</v>
      </c>
      <c r="G15" s="10">
        <f>F15</f>
        <v>1199892.0000000002</v>
      </c>
      <c r="H15" s="10">
        <f t="shared" ref="H15:I15" si="3">+H5*30%</f>
        <v>1385677.125</v>
      </c>
      <c r="I15" s="10">
        <f t="shared" si="3"/>
        <v>1454960.98125</v>
      </c>
      <c r="K15" t="s">
        <v>281</v>
      </c>
      <c r="L15" s="7">
        <f>SUM(L13:L14)</f>
        <v>1199892.0000000002</v>
      </c>
      <c r="M15" s="6">
        <f>SUM(M13:M14)</f>
        <v>0.60352941176470587</v>
      </c>
    </row>
    <row r="16" spans="1:13" x14ac:dyDescent="0.25">
      <c r="A16" s="22" t="s">
        <v>179</v>
      </c>
      <c r="B16" s="8"/>
      <c r="C16" s="10">
        <v>0</v>
      </c>
      <c r="D16" s="10">
        <f>+D14-C14</f>
        <v>0</v>
      </c>
      <c r="E16" s="10">
        <f t="shared" ref="E16:I16" si="4">+E14-D14</f>
        <v>861000.00000000023</v>
      </c>
      <c r="F16" s="10">
        <f t="shared" si="4"/>
        <v>139650</v>
      </c>
      <c r="G16" s="10">
        <f t="shared" si="4"/>
        <v>146632.5</v>
      </c>
      <c r="H16" s="10">
        <f t="shared" si="4"/>
        <v>153964.125</v>
      </c>
      <c r="I16" s="24">
        <f t="shared" si="4"/>
        <v>161662.33124999981</v>
      </c>
      <c r="K16" t="s">
        <v>280</v>
      </c>
      <c r="L16">
        <v>0</v>
      </c>
      <c r="M16" s="6">
        <f>100%-M15</f>
        <v>0.39647058823529413</v>
      </c>
    </row>
    <row r="17" spans="1:13" x14ac:dyDescent="0.25">
      <c r="A17" s="22"/>
      <c r="B17" s="13"/>
      <c r="C17" s="2"/>
      <c r="D17" s="2"/>
      <c r="E17" s="2"/>
      <c r="F17" s="2"/>
      <c r="G17" s="2"/>
      <c r="H17" s="2" t="e">
        <f>H5*20%-#REF!</f>
        <v>#REF!</v>
      </c>
      <c r="I17" s="30" t="e">
        <f>I5*20%-#REF!</f>
        <v>#REF!</v>
      </c>
    </row>
    <row r="18" spans="1:13" ht="15.75" thickBot="1" x14ac:dyDescent="0.3">
      <c r="A18" s="31" t="s">
        <v>283</v>
      </c>
      <c r="B18" s="32"/>
      <c r="C18" s="33"/>
      <c r="D18" s="33"/>
      <c r="E18" s="33"/>
      <c r="F18" s="33"/>
      <c r="G18" s="33"/>
      <c r="H18" s="33" t="e">
        <f>+H5-G14-#REF!-#REF!-5000</f>
        <v>#REF!</v>
      </c>
      <c r="I18" s="34" t="e">
        <f>+I5-H14-#REF!-#REF!-5000</f>
        <v>#REF!</v>
      </c>
    </row>
    <row r="19" spans="1:13" x14ac:dyDescent="0.25">
      <c r="A19" s="35" t="s">
        <v>284</v>
      </c>
      <c r="D19" s="150">
        <f>1.65%*D5+10000</f>
        <v>72700</v>
      </c>
      <c r="E19" s="150">
        <f t="shared" ref="E19:G19" si="5">1.65%*E5+10000</f>
        <v>75835</v>
      </c>
      <c r="F19" s="150">
        <f t="shared" si="5"/>
        <v>79126.75</v>
      </c>
      <c r="G19" s="150">
        <f t="shared" si="5"/>
        <v>82583.087500000009</v>
      </c>
      <c r="H19" s="7">
        <f>H5-$C$5</f>
        <v>1858923.75</v>
      </c>
      <c r="I19" s="7">
        <f>I5-$C$5</f>
        <v>2089869.9375</v>
      </c>
    </row>
    <row r="20" spans="1:13" ht="15.75" thickBot="1" x14ac:dyDescent="0.3">
      <c r="A20" s="35" t="s">
        <v>192</v>
      </c>
      <c r="B20" s="6"/>
      <c r="C20" s="4">
        <f>C18*$B$20</f>
        <v>0</v>
      </c>
      <c r="D20" s="4">
        <v>5000</v>
      </c>
      <c r="E20" s="4">
        <v>5001</v>
      </c>
      <c r="F20" s="4">
        <v>5002</v>
      </c>
      <c r="G20" s="4">
        <v>5003</v>
      </c>
      <c r="H20" s="5" t="e">
        <f t="shared" ref="H20:I20" si="6">H18-((H19/2)*32%)</f>
        <v>#REF!</v>
      </c>
      <c r="I20" s="5" t="e">
        <f t="shared" si="6"/>
        <v>#REF!</v>
      </c>
      <c r="L20" t="s">
        <v>371</v>
      </c>
    </row>
    <row r="21" spans="1:13" x14ac:dyDescent="0.25">
      <c r="A21" s="35" t="s">
        <v>285</v>
      </c>
      <c r="B21" s="11"/>
      <c r="C21" s="5">
        <f>C18*$B$21</f>
        <v>0</v>
      </c>
      <c r="D21" s="5">
        <f>+D19+D20</f>
        <v>77700</v>
      </c>
      <c r="E21" s="5">
        <f t="shared" ref="E21:G21" si="7">+E19+E20</f>
        <v>80836</v>
      </c>
      <c r="F21" s="5">
        <f t="shared" si="7"/>
        <v>84128.75</v>
      </c>
      <c r="G21" s="5">
        <f t="shared" si="7"/>
        <v>87586.087500000009</v>
      </c>
      <c r="H21" s="5">
        <v>800000</v>
      </c>
      <c r="I21" s="5">
        <v>800000</v>
      </c>
      <c r="K21" s="241" t="s">
        <v>37</v>
      </c>
      <c r="L21" s="242" t="s">
        <v>324</v>
      </c>
      <c r="M21" s="252" t="s">
        <v>328</v>
      </c>
    </row>
    <row r="22" spans="1:13" x14ac:dyDescent="0.25">
      <c r="A22" s="35" t="s">
        <v>286</v>
      </c>
      <c r="B22" s="11"/>
      <c r="C22" s="7"/>
      <c r="D22" s="240">
        <f>D5-$C$12-D21</f>
        <v>539448</v>
      </c>
      <c r="E22" s="240">
        <f>E5-$C$12-E21</f>
        <v>726312</v>
      </c>
      <c r="F22" s="240">
        <f t="shared" ref="F22:G22" si="8">F5-$C$12-F21</f>
        <v>922519.25</v>
      </c>
      <c r="G22" s="240">
        <f t="shared" si="8"/>
        <v>1128536.9125000001</v>
      </c>
      <c r="H22" s="7">
        <f t="shared" ref="H22:I22" si="9">G22</f>
        <v>1128536.9125000001</v>
      </c>
      <c r="I22" s="7">
        <f t="shared" si="9"/>
        <v>1128536.9125000001</v>
      </c>
      <c r="K22" s="243"/>
      <c r="L22" s="244" t="s">
        <v>202</v>
      </c>
      <c r="M22" s="253" t="s">
        <v>202</v>
      </c>
    </row>
    <row r="23" spans="1:13" x14ac:dyDescent="0.25">
      <c r="A23" s="35" t="s">
        <v>180</v>
      </c>
      <c r="B23" s="11"/>
      <c r="C23" s="7"/>
      <c r="D23" s="11">
        <f>D22/$C$12</f>
        <v>0.16948573166455744</v>
      </c>
      <c r="E23" s="11">
        <f t="shared" ref="E23:G23" si="10">E22/$C$12</f>
        <v>0.2281953417878054</v>
      </c>
      <c r="F23" s="11">
        <f t="shared" si="10"/>
        <v>0.28984044812639731</v>
      </c>
      <c r="G23" s="11">
        <f t="shared" si="10"/>
        <v>0.35456782549110044</v>
      </c>
      <c r="H23" s="7"/>
      <c r="I23" s="7"/>
      <c r="K23" s="22" t="s">
        <v>321</v>
      </c>
      <c r="L23" s="8">
        <v>3800000</v>
      </c>
      <c r="M23" s="25">
        <v>3800000</v>
      </c>
    </row>
    <row r="24" spans="1:13" x14ac:dyDescent="0.25">
      <c r="A24" s="35"/>
      <c r="B24" s="11"/>
      <c r="C24" s="7"/>
      <c r="D24" s="5"/>
      <c r="E24" s="5"/>
      <c r="F24" s="5"/>
      <c r="G24" s="5"/>
      <c r="H24" s="5">
        <f t="shared" ref="H24:I24" si="11">+H22/2</f>
        <v>564268.45625000005</v>
      </c>
      <c r="I24" s="5">
        <f t="shared" si="11"/>
        <v>564268.45625000005</v>
      </c>
      <c r="K24" s="22" t="s">
        <v>329</v>
      </c>
      <c r="L24" s="8">
        <v>-5000</v>
      </c>
      <c r="M24" s="25">
        <v>-5000</v>
      </c>
    </row>
    <row r="25" spans="1:13" x14ac:dyDescent="0.25">
      <c r="A25" s="35" t="s">
        <v>287</v>
      </c>
      <c r="B25" s="6">
        <f>M16</f>
        <v>0.39647058823529413</v>
      </c>
      <c r="D25" s="5">
        <f>+D22*$B25</f>
        <v>213875.26588235295</v>
      </c>
      <c r="E25" s="5">
        <f t="shared" ref="E25:G25" si="12">+E22*$B25</f>
        <v>287961.34588235297</v>
      </c>
      <c r="F25" s="5">
        <f t="shared" si="12"/>
        <v>365751.74970588234</v>
      </c>
      <c r="G25" s="5">
        <f t="shared" si="12"/>
        <v>447431.69354411768</v>
      </c>
      <c r="H25" s="5">
        <f t="shared" ref="H25:I25" si="13">+H22*35%</f>
        <v>394987.919375</v>
      </c>
      <c r="I25" s="5">
        <f t="shared" si="13"/>
        <v>394987.919375</v>
      </c>
      <c r="K25" s="254" t="s">
        <v>47</v>
      </c>
      <c r="L25" s="245">
        <f>SUM(L23:L24)</f>
        <v>3795000</v>
      </c>
      <c r="M25" s="255">
        <f>SUM(M23:M24)</f>
        <v>3795000</v>
      </c>
    </row>
    <row r="26" spans="1:13" x14ac:dyDescent="0.25">
      <c r="A26" s="35" t="s">
        <v>337</v>
      </c>
      <c r="B26" s="6">
        <f>M15</f>
        <v>0.60352941176470587</v>
      </c>
      <c r="D26" s="5">
        <f>D22*$B$26</f>
        <v>325572.73411764705</v>
      </c>
      <c r="E26" s="5">
        <f t="shared" ref="E26:G26" si="14">E22*$B$26</f>
        <v>438350.65411764703</v>
      </c>
      <c r="F26" s="5">
        <f t="shared" si="14"/>
        <v>556767.50029411761</v>
      </c>
      <c r="G26" s="5">
        <f t="shared" si="14"/>
        <v>681105.21895588236</v>
      </c>
      <c r="K26" s="22" t="s">
        <v>322</v>
      </c>
      <c r="L26" s="10">
        <v>2760000</v>
      </c>
      <c r="M26" s="24">
        <v>2760000</v>
      </c>
    </row>
    <row r="27" spans="1:13" x14ac:dyDescent="0.25">
      <c r="A27" s="35" t="s">
        <v>338</v>
      </c>
      <c r="B27" s="6"/>
      <c r="D27" s="88">
        <f>(D26/$L$15)/(D1-1)</f>
        <v>0.27133503191757841</v>
      </c>
      <c r="E27" s="88">
        <f t="shared" ref="E27:G27" si="15">(E26/$L$15)/(E1-1)</f>
        <v>0.18266254551144892</v>
      </c>
      <c r="F27" s="88">
        <f t="shared" si="15"/>
        <v>0.15467155941093516</v>
      </c>
      <c r="G27" s="88">
        <f t="shared" si="15"/>
        <v>0.14190969248813273</v>
      </c>
      <c r="K27" s="22" t="s">
        <v>2</v>
      </c>
      <c r="L27" s="10">
        <f>L26*6%</f>
        <v>165600</v>
      </c>
      <c r="M27" s="24">
        <f>M26*6%</f>
        <v>165600</v>
      </c>
    </row>
    <row r="28" spans="1:13" ht="15.75" thickBot="1" x14ac:dyDescent="0.3">
      <c r="A28" s="35" t="s">
        <v>339</v>
      </c>
      <c r="D28" s="11">
        <f>D26/$L$15</f>
        <v>0.27133503191757841</v>
      </c>
      <c r="E28" s="11">
        <f t="shared" ref="E28:G28" si="16">E26/$L$15</f>
        <v>0.36532509102289784</v>
      </c>
      <c r="F28" s="11">
        <f t="shared" si="16"/>
        <v>0.46401467823280551</v>
      </c>
      <c r="G28" s="11">
        <f t="shared" si="16"/>
        <v>0.56763876995253093</v>
      </c>
      <c r="K28" s="26" t="s">
        <v>3</v>
      </c>
      <c r="L28" s="10">
        <v>15000</v>
      </c>
      <c r="M28" s="24">
        <v>15000</v>
      </c>
    </row>
    <row r="29" spans="1:13" x14ac:dyDescent="0.25">
      <c r="A29" s="16" t="s">
        <v>80</v>
      </c>
      <c r="B29" s="17"/>
      <c r="C29" s="17"/>
      <c r="D29" s="36">
        <v>0.05</v>
      </c>
      <c r="E29" s="36">
        <f>(E30/D30)-100%</f>
        <v>6.8300653594771221E-2</v>
      </c>
      <c r="F29" s="36">
        <f t="shared" ref="F29:I29" si="17">(F30/E30)-100%</f>
        <v>5.3074334658917088E-2</v>
      </c>
      <c r="G29" s="36">
        <f t="shared" si="17"/>
        <v>4.9382716049382713E-2</v>
      </c>
      <c r="H29" s="36">
        <f t="shared" si="17"/>
        <v>-0.92525951557093422</v>
      </c>
      <c r="I29" s="36">
        <f t="shared" si="17"/>
        <v>0.25</v>
      </c>
      <c r="K29" s="22" t="s">
        <v>4</v>
      </c>
      <c r="L29" s="10">
        <v>40000</v>
      </c>
      <c r="M29" s="24">
        <v>40000</v>
      </c>
    </row>
    <row r="30" spans="1:13" x14ac:dyDescent="0.25">
      <c r="A30" s="41" t="s">
        <v>81</v>
      </c>
      <c r="B30" s="42"/>
      <c r="C30" s="43">
        <f>'Cash Flow FY1'!B22</f>
        <v>69120</v>
      </c>
      <c r="D30" s="43">
        <f>'Cash Flow FY2'!B21</f>
        <v>183600</v>
      </c>
      <c r="E30" s="43">
        <f>'Cash Flow FY3'!B21</f>
        <v>196140</v>
      </c>
      <c r="F30" s="43">
        <f>'Cash Flow FY4'!B21</f>
        <v>206550</v>
      </c>
      <c r="G30" s="43">
        <f>'Cash Flow FY5'!B21</f>
        <v>216750</v>
      </c>
      <c r="H30" s="43">
        <f>'Cash Flow FY4'!D21</f>
        <v>16200</v>
      </c>
      <c r="I30" s="43">
        <f>'Cash Flow FY4'!E21</f>
        <v>20250</v>
      </c>
      <c r="K30" s="22" t="s">
        <v>5</v>
      </c>
      <c r="L30" s="10">
        <v>150000</v>
      </c>
      <c r="M30" s="24">
        <v>150000</v>
      </c>
    </row>
    <row r="31" spans="1:13" x14ac:dyDescent="0.25">
      <c r="A31" s="22" t="s">
        <v>23</v>
      </c>
      <c r="B31" s="8"/>
      <c r="C31" s="8"/>
      <c r="D31" s="8"/>
      <c r="E31" s="8"/>
      <c r="F31" s="8"/>
      <c r="G31" s="40"/>
      <c r="H31" s="40"/>
      <c r="I31" s="25"/>
      <c r="K31" s="22" t="s">
        <v>326</v>
      </c>
      <c r="L31" s="10">
        <v>20000</v>
      </c>
      <c r="M31" s="24">
        <v>20000</v>
      </c>
    </row>
    <row r="32" spans="1:13" x14ac:dyDescent="0.25">
      <c r="A32" s="22" t="s">
        <v>82</v>
      </c>
      <c r="B32" s="13"/>
      <c r="C32" s="8">
        <f>'Cash Flow FY1'!B3</f>
        <v>59312.39999999998</v>
      </c>
      <c r="D32" s="44">
        <f>'Cash Flow FY2'!B2</f>
        <v>115919.99999999999</v>
      </c>
      <c r="E32" s="44">
        <f>'Cash Flow FY3'!B2</f>
        <v>115919.99999999999</v>
      </c>
      <c r="F32" s="44">
        <f>'Cash Flow FY4'!B2</f>
        <v>115919.99999999999</v>
      </c>
      <c r="G32" s="44">
        <f>'Cash Flow FY5'!B2</f>
        <v>115919.99999999999</v>
      </c>
      <c r="H32" s="44">
        <f t="shared" ref="H32:I32" si="18">+G32*(100%+$B$32)</f>
        <v>115919.99999999999</v>
      </c>
      <c r="I32" s="45">
        <f t="shared" si="18"/>
        <v>115919.99999999999</v>
      </c>
      <c r="K32" s="22" t="s">
        <v>323</v>
      </c>
      <c r="L32" s="248">
        <v>30000</v>
      </c>
      <c r="M32" s="256"/>
    </row>
    <row r="33" spans="1:13" x14ac:dyDescent="0.25">
      <c r="A33" s="22" t="s">
        <v>98</v>
      </c>
      <c r="B33" s="13"/>
      <c r="C33" s="8"/>
      <c r="D33" s="44"/>
      <c r="E33" s="44"/>
      <c r="F33" s="44"/>
      <c r="G33" s="44"/>
      <c r="H33" s="44"/>
      <c r="I33" s="45"/>
      <c r="K33" s="22" t="s">
        <v>325</v>
      </c>
      <c r="L33" s="8"/>
      <c r="M33" s="25">
        <f>+M23*1.5% + 10000</f>
        <v>67000</v>
      </c>
    </row>
    <row r="34" spans="1:13" x14ac:dyDescent="0.25">
      <c r="A34" s="22" t="s">
        <v>24</v>
      </c>
      <c r="B34" s="13"/>
      <c r="C34" s="8">
        <f>'Cash Flow FY1'!B4</f>
        <v>6349.9999999999991</v>
      </c>
      <c r="D34" s="44">
        <f>'Cash Flow FY2'!B3</f>
        <v>12720</v>
      </c>
      <c r="E34" s="44">
        <f>'Cash Flow FY3'!B3</f>
        <v>12780</v>
      </c>
      <c r="F34" s="44">
        <f>'Cash Flow FY4'!B3</f>
        <v>13163.400000000003</v>
      </c>
      <c r="G34" s="44">
        <f>'Cash Flow FY5'!B3</f>
        <v>15600</v>
      </c>
      <c r="H34" s="44">
        <f t="shared" ref="H34:I35" si="19">+G34*(100%+$B34)</f>
        <v>15600</v>
      </c>
      <c r="I34" s="45">
        <f t="shared" si="19"/>
        <v>15600</v>
      </c>
      <c r="K34" s="22" t="s">
        <v>6</v>
      </c>
      <c r="L34" s="10">
        <f>SUM(L26:L33)</f>
        <v>3180600</v>
      </c>
      <c r="M34" s="24">
        <f>SUM(M26:M33)</f>
        <v>3217600</v>
      </c>
    </row>
    <row r="35" spans="1:13" x14ac:dyDescent="0.25">
      <c r="A35" s="22" t="s">
        <v>25</v>
      </c>
      <c r="B35" s="13"/>
      <c r="C35" s="8">
        <f>'Cash Flow FY1'!B5</f>
        <v>3000</v>
      </c>
      <c r="D35" s="44">
        <f>'Cash Flow FY2'!B4</f>
        <v>6000</v>
      </c>
      <c r="E35" s="44">
        <f>'Cash Flow FY3'!B4</f>
        <v>7800</v>
      </c>
      <c r="F35" s="44">
        <f>'Cash Flow FY4'!B4</f>
        <v>8400</v>
      </c>
      <c r="G35" s="44">
        <f>'Cash Flow FY5'!B4</f>
        <v>8400</v>
      </c>
      <c r="H35" s="44">
        <f t="shared" si="19"/>
        <v>8400</v>
      </c>
      <c r="I35" s="45">
        <f t="shared" si="19"/>
        <v>8400</v>
      </c>
      <c r="K35" s="22"/>
      <c r="L35" s="8"/>
      <c r="M35" s="24"/>
    </row>
    <row r="36" spans="1:13" x14ac:dyDescent="0.25">
      <c r="A36" s="22" t="s">
        <v>83</v>
      </c>
      <c r="B36" s="13"/>
      <c r="C36" s="8">
        <f>'Cash Flow FY1'!B6</f>
        <v>1500</v>
      </c>
      <c r="D36" s="44">
        <f>'Cash Flow FY2'!B5</f>
        <v>3600</v>
      </c>
      <c r="E36" s="44">
        <f>'Cash Flow FY3'!B5</f>
        <v>3600</v>
      </c>
      <c r="F36" s="44">
        <f>'Cash Flow FY4'!B5</f>
        <v>3600</v>
      </c>
      <c r="G36" s="44">
        <f>'Cash Flow FY5'!B5</f>
        <v>3600</v>
      </c>
      <c r="H36" s="44">
        <f t="shared" ref="H36:I37" si="20">+G36*(100%+$B36)</f>
        <v>3600</v>
      </c>
      <c r="I36" s="45">
        <f t="shared" si="20"/>
        <v>3600</v>
      </c>
      <c r="K36" s="246" t="s">
        <v>286</v>
      </c>
      <c r="L36" s="247">
        <f>L25-L34</f>
        <v>614400</v>
      </c>
      <c r="M36" s="257">
        <f>M25-M34</f>
        <v>577400</v>
      </c>
    </row>
    <row r="37" spans="1:13" ht="15.75" thickBot="1" x14ac:dyDescent="0.3">
      <c r="A37" s="22" t="s">
        <v>26</v>
      </c>
      <c r="B37" s="13"/>
      <c r="C37" s="8">
        <f>'Cash Flow FY1'!B7</f>
        <v>2500</v>
      </c>
      <c r="D37" s="44">
        <f>'Cash Flow FY2'!B6</f>
        <v>6180</v>
      </c>
      <c r="E37" s="44">
        <f>'Cash Flow FY3'!B6</f>
        <v>6180</v>
      </c>
      <c r="F37" s="44">
        <f>'Cash Flow FY4'!B6</f>
        <v>6180</v>
      </c>
      <c r="G37" s="44">
        <f>'Cash Flow FY5'!B6</f>
        <v>6180</v>
      </c>
      <c r="H37" s="44">
        <f t="shared" si="20"/>
        <v>6180</v>
      </c>
      <c r="I37" s="45">
        <f t="shared" si="20"/>
        <v>6180</v>
      </c>
      <c r="K37" s="258" t="s">
        <v>327</v>
      </c>
      <c r="L37" s="259">
        <f>+L36/L34</f>
        <v>0.19317109979249197</v>
      </c>
      <c r="M37" s="260">
        <f>+M36/M34</f>
        <v>0.17945052212829438</v>
      </c>
    </row>
    <row r="38" spans="1:13" ht="15.75" thickBot="1" x14ac:dyDescent="0.3">
      <c r="A38" s="22" t="s">
        <v>84</v>
      </c>
      <c r="B38" s="8"/>
      <c r="C38" s="8">
        <f>'Cash Flow FY1'!B8</f>
        <v>4147.2</v>
      </c>
      <c r="D38" s="44">
        <f>'Cash Flow FY2'!B7</f>
        <v>11016.000000000002</v>
      </c>
      <c r="E38" s="44">
        <f>'Cash Flow FY3'!B7</f>
        <v>11768.399999999996</v>
      </c>
      <c r="F38" s="44">
        <f>'Cash Flow FY4'!B7</f>
        <v>12393.000000000002</v>
      </c>
      <c r="G38" s="44">
        <f>'Cash Flow FY5'!B7</f>
        <v>13005</v>
      </c>
      <c r="H38" s="44">
        <f>'Cash Flow FY4'!D7</f>
        <v>972</v>
      </c>
      <c r="I38" s="44">
        <f>'Cash Flow FY4'!E7</f>
        <v>1215</v>
      </c>
      <c r="K38" s="249"/>
      <c r="L38" s="250"/>
      <c r="M38" s="251"/>
    </row>
    <row r="39" spans="1:13" x14ac:dyDescent="0.25">
      <c r="A39" s="22" t="s">
        <v>28</v>
      </c>
      <c r="B39" s="13"/>
      <c r="C39" s="8">
        <f>'Cash Flow FY1'!B9</f>
        <v>5500</v>
      </c>
      <c r="D39" s="44">
        <f>'Cash Flow FY2'!B8</f>
        <v>2000</v>
      </c>
      <c r="E39" s="44">
        <f>'Cash Flow FY3'!B8</f>
        <v>2000</v>
      </c>
      <c r="F39" s="44">
        <f>'Cash Flow FY4'!B8</f>
        <v>2000</v>
      </c>
      <c r="G39" s="44">
        <f>'Cash Flow FY5'!B8</f>
        <v>2000</v>
      </c>
      <c r="H39" s="44">
        <f>'Cash Flow FY4'!D8</f>
        <v>0</v>
      </c>
      <c r="I39" s="44">
        <f>'Cash Flow FY4'!E8</f>
        <v>1000</v>
      </c>
      <c r="K39" s="35"/>
    </row>
    <row r="40" spans="1:13" x14ac:dyDescent="0.25">
      <c r="A40" s="22" t="s">
        <v>29</v>
      </c>
      <c r="B40" s="8"/>
      <c r="C40" s="8">
        <f>'Cash Flow FY1'!B10</f>
        <v>0</v>
      </c>
      <c r="D40" s="8">
        <f>'Cash Flow FY2'!$B9</f>
        <v>29000</v>
      </c>
      <c r="E40" s="8">
        <f>'Cash Flow FY2'!$B9</f>
        <v>29000</v>
      </c>
      <c r="F40" s="8">
        <f>'Cash Flow FY2'!$B9</f>
        <v>29000</v>
      </c>
      <c r="G40" s="8">
        <f>'Cash Flow FY2'!$B9</f>
        <v>29000</v>
      </c>
      <c r="H40" s="39"/>
      <c r="I40" s="25"/>
      <c r="K40" s="35"/>
      <c r="L40" s="6"/>
      <c r="M40" s="4"/>
    </row>
    <row r="41" spans="1:13" x14ac:dyDescent="0.25">
      <c r="A41" s="22" t="s">
        <v>30</v>
      </c>
      <c r="B41" s="8"/>
      <c r="C41" s="8">
        <f>'Cash Flow FY1'!B11</f>
        <v>2000</v>
      </c>
      <c r="D41" s="44">
        <f>'Cash Flow FY2'!B10</f>
        <v>0</v>
      </c>
      <c r="E41" s="44">
        <f>'Cash Flow FY3'!B10</f>
        <v>0</v>
      </c>
      <c r="F41" s="44">
        <f>'Cash Flow FY4'!B10</f>
        <v>0</v>
      </c>
      <c r="G41" s="44">
        <f>'Cash Flow FY5'!B10</f>
        <v>0</v>
      </c>
      <c r="H41" s="8">
        <v>600</v>
      </c>
      <c r="I41" s="25">
        <v>600</v>
      </c>
      <c r="K41" s="35"/>
      <c r="L41" s="11"/>
      <c r="M41" s="5"/>
    </row>
    <row r="42" spans="1:13" x14ac:dyDescent="0.25">
      <c r="A42" s="22" t="s">
        <v>31</v>
      </c>
      <c r="B42" s="13"/>
      <c r="C42" s="8">
        <f>'Cash Flow FY1'!B12</f>
        <v>2000</v>
      </c>
      <c r="D42" s="44">
        <f>'Cash Flow FY2'!B11</f>
        <v>0</v>
      </c>
      <c r="E42" s="44">
        <f>'Cash Flow FY3'!B11</f>
        <v>0</v>
      </c>
      <c r="F42" s="44">
        <f>'Cash Flow FY4'!B11</f>
        <v>0</v>
      </c>
      <c r="G42" s="44">
        <f>'Cash Flow FY5'!B11</f>
        <v>0</v>
      </c>
      <c r="H42" s="44">
        <f t="shared" ref="H42:I42" si="21">+G42*(100%+$B42)</f>
        <v>0</v>
      </c>
      <c r="I42" s="45">
        <f t="shared" si="21"/>
        <v>0</v>
      </c>
      <c r="K42" s="35"/>
      <c r="L42" s="11"/>
      <c r="M42" s="7"/>
    </row>
    <row r="43" spans="1:13" x14ac:dyDescent="0.25">
      <c r="A43" s="22" t="s">
        <v>198</v>
      </c>
      <c r="B43" s="15"/>
      <c r="C43" s="8">
        <v>1000</v>
      </c>
      <c r="D43" s="44">
        <v>1000</v>
      </c>
      <c r="E43" s="44">
        <v>1000</v>
      </c>
      <c r="F43" s="3">
        <v>1</v>
      </c>
      <c r="G43" s="3"/>
      <c r="H43" s="3"/>
      <c r="I43" s="46"/>
      <c r="K43" s="35"/>
      <c r="L43" s="11"/>
      <c r="M43" s="7"/>
    </row>
    <row r="44" spans="1:13" x14ac:dyDescent="0.25">
      <c r="A44" s="22"/>
      <c r="B44" s="15"/>
      <c r="C44" s="8"/>
      <c r="D44" s="44"/>
      <c r="E44" s="44"/>
      <c r="F44" s="3"/>
      <c r="G44" s="3"/>
      <c r="H44" s="3"/>
      <c r="I44" s="46"/>
      <c r="K44" s="35"/>
      <c r="L44" s="6"/>
    </row>
    <row r="45" spans="1:13" x14ac:dyDescent="0.25">
      <c r="A45" s="22"/>
      <c r="B45" s="15"/>
      <c r="C45" s="8"/>
      <c r="D45" s="44"/>
      <c r="E45" s="44"/>
      <c r="F45" s="3"/>
      <c r="G45" s="3"/>
      <c r="H45" s="3"/>
      <c r="I45" s="46"/>
    </row>
    <row r="46" spans="1:13" x14ac:dyDescent="0.25">
      <c r="A46" s="41" t="s">
        <v>32</v>
      </c>
      <c r="B46" s="42"/>
      <c r="C46" s="47">
        <f>SUM(C32:C45)</f>
        <v>87309.599999999977</v>
      </c>
      <c r="D46" s="47">
        <f>SUM(D32:D45)</f>
        <v>187436</v>
      </c>
      <c r="E46" s="47">
        <f>SUM(E32:E45)</f>
        <v>190048.4</v>
      </c>
      <c r="F46" s="47">
        <f>SUM(F32:F45)</f>
        <v>190657.4</v>
      </c>
      <c r="G46" s="47">
        <f>SUM(G32:G45)</f>
        <v>193705</v>
      </c>
      <c r="H46" s="47">
        <f>SUM(H32:H42)</f>
        <v>151272</v>
      </c>
      <c r="I46" s="48">
        <f>SUM(I32:I42)</f>
        <v>152515</v>
      </c>
    </row>
    <row r="47" spans="1:13" x14ac:dyDescent="0.25">
      <c r="A47" s="155" t="s">
        <v>98</v>
      </c>
      <c r="B47" s="156"/>
      <c r="C47" s="157">
        <f>SUM(C34:C39)</f>
        <v>22997.200000000001</v>
      </c>
      <c r="D47" s="157">
        <f>SUM(D34:D39)</f>
        <v>41516</v>
      </c>
      <c r="E47" s="157">
        <f>SUM(E34:E39)</f>
        <v>44128.399999999994</v>
      </c>
      <c r="F47" s="157">
        <f>SUM(F34:F39)</f>
        <v>45736.4</v>
      </c>
      <c r="G47" s="157">
        <f>SUM(G34:G39)</f>
        <v>48785</v>
      </c>
      <c r="H47" s="157"/>
      <c r="I47" s="158"/>
    </row>
    <row r="48" spans="1:13" ht="15.75" thickBot="1" x14ac:dyDescent="0.3">
      <c r="A48" s="49" t="s">
        <v>35</v>
      </c>
      <c r="B48" s="50"/>
      <c r="C48" s="51">
        <f t="shared" ref="C48:I48" si="22">C30-C46</f>
        <v>-18189.599999999977</v>
      </c>
      <c r="D48" s="51">
        <f t="shared" si="22"/>
        <v>-3836</v>
      </c>
      <c r="E48" s="51">
        <f t="shared" si="22"/>
        <v>6091.6000000000058</v>
      </c>
      <c r="F48" s="51">
        <f t="shared" si="22"/>
        <v>15892.600000000006</v>
      </c>
      <c r="G48" s="51">
        <f t="shared" si="22"/>
        <v>23045</v>
      </c>
      <c r="H48" s="51">
        <f t="shared" si="22"/>
        <v>-135072</v>
      </c>
      <c r="I48" s="52">
        <f t="shared" si="22"/>
        <v>-132265</v>
      </c>
    </row>
    <row r="49" spans="1:9" x14ac:dyDescent="0.25">
      <c r="A49" t="s">
        <v>33</v>
      </c>
      <c r="C49" s="53">
        <f t="shared" ref="C49:I49" si="23">C48+C32</f>
        <v>41122.800000000003</v>
      </c>
      <c r="D49" s="53">
        <f t="shared" si="23"/>
        <v>112083.99999999999</v>
      </c>
      <c r="E49" s="53">
        <f t="shared" si="23"/>
        <v>122011.59999999999</v>
      </c>
      <c r="F49" s="53">
        <f t="shared" si="23"/>
        <v>131812.59999999998</v>
      </c>
      <c r="G49" s="53">
        <f t="shared" si="23"/>
        <v>138965</v>
      </c>
      <c r="H49" s="53">
        <f t="shared" si="23"/>
        <v>-19152.000000000015</v>
      </c>
      <c r="I49" s="53">
        <f t="shared" si="23"/>
        <v>-16345.000000000015</v>
      </c>
    </row>
    <row r="50" spans="1:9" x14ac:dyDescent="0.25">
      <c r="A50" t="s">
        <v>85</v>
      </c>
      <c r="C50" s="53"/>
      <c r="D50" s="88">
        <f t="shared" ref="D50:I50" si="24">+D49/C5</f>
        <v>4.0610144927536229E-2</v>
      </c>
      <c r="E50" s="88">
        <f t="shared" si="24"/>
        <v>3.2108315789473679E-2</v>
      </c>
      <c r="F50" s="88">
        <f t="shared" si="24"/>
        <v>3.3035739348370924E-2</v>
      </c>
      <c r="G50" s="88">
        <f t="shared" si="24"/>
        <v>3.3169829335242866E-2</v>
      </c>
      <c r="H50" s="88">
        <f t="shared" si="24"/>
        <v>-4.3537414965986428E-3</v>
      </c>
      <c r="I50" s="88">
        <f t="shared" si="24"/>
        <v>-3.5387031448614009E-3</v>
      </c>
    </row>
    <row r="51" spans="1:9" x14ac:dyDescent="0.25">
      <c r="C51" s="53"/>
      <c r="D51" s="53"/>
      <c r="E51" s="53"/>
      <c r="F51" s="53"/>
      <c r="G51" s="4"/>
      <c r="H51" s="4"/>
    </row>
    <row r="54" spans="1:9" x14ac:dyDescent="0.25">
      <c r="A54" t="s">
        <v>341</v>
      </c>
    </row>
    <row r="55" spans="1:9" x14ac:dyDescent="0.25">
      <c r="A55" t="s">
        <v>342</v>
      </c>
      <c r="B55" s="6">
        <v>0.42</v>
      </c>
      <c r="C55" s="7">
        <f>$B$55*C22</f>
        <v>0</v>
      </c>
      <c r="D55" s="7">
        <f t="shared" ref="D55:G55" si="25">$B$55*D22</f>
        <v>226568.16</v>
      </c>
      <c r="E55" s="7">
        <f t="shared" si="25"/>
        <v>305051.03999999998</v>
      </c>
      <c r="F55" s="7">
        <f t="shared" si="25"/>
        <v>387458.08499999996</v>
      </c>
      <c r="G55" s="7">
        <f t="shared" si="25"/>
        <v>473985.50325000001</v>
      </c>
    </row>
    <row r="56" spans="1:9" x14ac:dyDescent="0.25">
      <c r="A56" t="s">
        <v>343</v>
      </c>
      <c r="B56" s="6">
        <v>0.18</v>
      </c>
      <c r="C56" s="7">
        <f>$B$56*C22</f>
        <v>0</v>
      </c>
      <c r="D56" s="7">
        <f t="shared" ref="D56:G56" si="26">$B$56*D22</f>
        <v>97100.64</v>
      </c>
      <c r="E56" s="7">
        <f t="shared" si="26"/>
        <v>130736.15999999999</v>
      </c>
      <c r="F56" s="7">
        <f t="shared" si="26"/>
        <v>166053.465</v>
      </c>
      <c r="G56" s="7">
        <f t="shared" si="26"/>
        <v>203136.64425000001</v>
      </c>
    </row>
    <row r="58" spans="1:9" x14ac:dyDescent="0.25">
      <c r="A58" t="s">
        <v>344</v>
      </c>
    </row>
    <row r="59" spans="1:9" x14ac:dyDescent="0.25">
      <c r="A59" t="s">
        <v>342</v>
      </c>
      <c r="B59" s="6">
        <v>0.42</v>
      </c>
      <c r="C59" s="11">
        <f>C55/800000</f>
        <v>0</v>
      </c>
      <c r="D59" s="11">
        <f>D55/800000</f>
        <v>0.28321020000000002</v>
      </c>
      <c r="E59" s="11">
        <f t="shared" ref="E59:G59" si="27">E55/800000</f>
        <v>0.38131379999999998</v>
      </c>
      <c r="F59" s="11">
        <f t="shared" si="27"/>
        <v>0.48432260624999995</v>
      </c>
      <c r="G59" s="11">
        <f t="shared" si="27"/>
        <v>0.59248187906250005</v>
      </c>
    </row>
    <row r="60" spans="1:9" x14ac:dyDescent="0.25">
      <c r="A60" t="s">
        <v>343</v>
      </c>
      <c r="B60" s="6">
        <v>0.18</v>
      </c>
      <c r="C60" s="11">
        <f>C56/450000</f>
        <v>0</v>
      </c>
      <c r="D60" s="11">
        <f t="shared" ref="D60:G60" si="28">D56/450000</f>
        <v>0.2157792</v>
      </c>
      <c r="E60" s="11">
        <f t="shared" si="28"/>
        <v>0.29052479999999997</v>
      </c>
      <c r="F60" s="11">
        <f t="shared" si="28"/>
        <v>0.36900769999999999</v>
      </c>
      <c r="G60" s="11">
        <f t="shared" si="28"/>
        <v>0.45141476500000005</v>
      </c>
    </row>
    <row r="63" spans="1:9" x14ac:dyDescent="0.25">
      <c r="A63" t="s">
        <v>354</v>
      </c>
    </row>
    <row r="64" spans="1:9" x14ac:dyDescent="0.25">
      <c r="A64" t="s">
        <v>355</v>
      </c>
      <c r="C64" s="7">
        <f>C12+320000</f>
        <v>3502852</v>
      </c>
      <c r="D64" s="7">
        <f>D5</f>
        <v>3800000</v>
      </c>
      <c r="E64" s="7">
        <f t="shared" ref="E64:G64" si="29">E5</f>
        <v>3990000</v>
      </c>
      <c r="F64" s="7">
        <f t="shared" si="29"/>
        <v>4189500</v>
      </c>
      <c r="G64" s="7">
        <f t="shared" si="29"/>
        <v>4398975</v>
      </c>
    </row>
    <row r="65" spans="1:9" x14ac:dyDescent="0.25">
      <c r="A65" t="s">
        <v>356</v>
      </c>
      <c r="B65" s="239">
        <v>0.02</v>
      </c>
      <c r="C65" s="180">
        <f>-$B$65*C64</f>
        <v>-70057.040000000008</v>
      </c>
      <c r="D65" s="180">
        <f t="shared" ref="D65:G65" si="30">-$B$65*D64</f>
        <v>-76000</v>
      </c>
      <c r="E65" s="180">
        <f t="shared" si="30"/>
        <v>-79800</v>
      </c>
      <c r="F65" s="180">
        <f t="shared" si="30"/>
        <v>-83790</v>
      </c>
      <c r="G65" s="180">
        <f t="shared" si="30"/>
        <v>-87979.5</v>
      </c>
    </row>
    <row r="66" spans="1:9" x14ac:dyDescent="0.25">
      <c r="A66" t="s">
        <v>93</v>
      </c>
      <c r="C66">
        <v>-5000</v>
      </c>
      <c r="D66">
        <v>-5000</v>
      </c>
      <c r="E66">
        <v>-5000</v>
      </c>
      <c r="F66">
        <v>-5000</v>
      </c>
      <c r="G66">
        <v>-5000</v>
      </c>
    </row>
    <row r="67" spans="1:9" x14ac:dyDescent="0.25">
      <c r="A67" t="s">
        <v>254</v>
      </c>
      <c r="C67" s="7">
        <f>-$C$14</f>
        <v>-1931999.9999999998</v>
      </c>
      <c r="D67" s="7">
        <f>-$C$14</f>
        <v>-1931999.9999999998</v>
      </c>
      <c r="E67" s="7">
        <f t="shared" ref="E67:G67" si="31">-$C$14</f>
        <v>-1931999.9999999998</v>
      </c>
      <c r="F67" s="7">
        <f t="shared" si="31"/>
        <v>-1931999.9999999998</v>
      </c>
      <c r="G67" s="7">
        <f t="shared" si="31"/>
        <v>-1931999.9999999998</v>
      </c>
    </row>
    <row r="68" spans="1:9" x14ac:dyDescent="0.25">
      <c r="A68" t="s">
        <v>189</v>
      </c>
      <c r="C68" s="53">
        <f>C48</f>
        <v>-18189.599999999977</v>
      </c>
      <c r="D68" s="53">
        <f t="shared" ref="D68:G68" si="32">D48</f>
        <v>-3836</v>
      </c>
      <c r="E68" s="53">
        <f t="shared" si="32"/>
        <v>6091.6000000000058</v>
      </c>
      <c r="F68" s="53">
        <f t="shared" si="32"/>
        <v>15892.600000000006</v>
      </c>
      <c r="G68" s="53">
        <f t="shared" si="32"/>
        <v>23045</v>
      </c>
    </row>
    <row r="69" spans="1:9" x14ac:dyDescent="0.25">
      <c r="C69" s="53"/>
      <c r="D69" s="53"/>
      <c r="E69" s="53"/>
      <c r="F69" s="53"/>
      <c r="G69" s="53"/>
    </row>
    <row r="70" spans="1:9" x14ac:dyDescent="0.25">
      <c r="A70" t="s">
        <v>104</v>
      </c>
      <c r="C70" s="7">
        <f>SUM(C64:C68)</f>
        <v>1477605.3600000003</v>
      </c>
      <c r="D70" s="7">
        <f t="shared" ref="D70:G70" si="33">SUM(D64:D68)</f>
        <v>1783164.0000000002</v>
      </c>
      <c r="E70" s="7">
        <f t="shared" si="33"/>
        <v>1979291.6000000003</v>
      </c>
      <c r="F70" s="7">
        <f t="shared" si="33"/>
        <v>2184602.6</v>
      </c>
      <c r="G70" s="7">
        <f t="shared" si="33"/>
        <v>2397040.5</v>
      </c>
    </row>
    <row r="71" spans="1:9" x14ac:dyDescent="0.25">
      <c r="A71" t="s">
        <v>357</v>
      </c>
      <c r="C71" s="7">
        <f>-$C$15</f>
        <v>-1199892.0000000002</v>
      </c>
      <c r="D71" s="7">
        <f t="shared" ref="D71:G71" si="34">-$C$15</f>
        <v>-1199892.0000000002</v>
      </c>
      <c r="E71" s="7">
        <f t="shared" si="34"/>
        <v>-1199892.0000000002</v>
      </c>
      <c r="F71" s="7">
        <f t="shared" si="34"/>
        <v>-1199892.0000000002</v>
      </c>
      <c r="G71" s="7">
        <f t="shared" si="34"/>
        <v>-1199892.0000000002</v>
      </c>
    </row>
    <row r="73" spans="1:9" x14ac:dyDescent="0.25">
      <c r="A73" t="s">
        <v>111</v>
      </c>
      <c r="C73" s="7">
        <f>SUM(C70:C72)</f>
        <v>277713.3600000001</v>
      </c>
      <c r="D73" s="7">
        <f>SUM(D70:D72)</f>
        <v>583272</v>
      </c>
      <c r="E73" s="7">
        <f>SUM(E70:E72)</f>
        <v>779399.60000000009</v>
      </c>
      <c r="F73" s="7">
        <f>SUM(F70:F72)</f>
        <v>984710.59999999986</v>
      </c>
      <c r="G73" s="7">
        <f>SUM(G70:G72)</f>
        <v>1197148.4999999998</v>
      </c>
    </row>
    <row r="74" spans="1:9" x14ac:dyDescent="0.25">
      <c r="A74" t="s">
        <v>180</v>
      </c>
      <c r="C74" s="11">
        <f>-C73/C71</f>
        <v>0.23144863037673394</v>
      </c>
      <c r="D74" s="11">
        <f t="shared" ref="D74:G74" si="35">-D73/D71</f>
        <v>0.48610374933744027</v>
      </c>
      <c r="E74" s="11">
        <f t="shared" si="35"/>
        <v>0.64955812689808745</v>
      </c>
      <c r="F74" s="11">
        <f t="shared" si="35"/>
        <v>0.82066602660906118</v>
      </c>
      <c r="G74" s="11">
        <f t="shared" si="35"/>
        <v>0.99771354421897929</v>
      </c>
    </row>
    <row r="75" spans="1:9" x14ac:dyDescent="0.25">
      <c r="A75" t="s">
        <v>358</v>
      </c>
      <c r="C75" s="11">
        <f>C74/C1</f>
        <v>0.23144863037673394</v>
      </c>
      <c r="D75" s="11">
        <f>D74/D1</f>
        <v>0.24305187466872014</v>
      </c>
      <c r="E75" s="11">
        <f>E74/E1</f>
        <v>0.21651937563269583</v>
      </c>
      <c r="F75" s="11">
        <f>F74/F1</f>
        <v>0.2051665066522653</v>
      </c>
      <c r="G75" s="11">
        <f>G74/G1</f>
        <v>0.19954270884379585</v>
      </c>
    </row>
    <row r="77" spans="1:9" x14ac:dyDescent="0.25">
      <c r="A77" s="262" t="s">
        <v>363</v>
      </c>
      <c r="B77" s="263">
        <f>M15</f>
        <v>0.60352941176470587</v>
      </c>
      <c r="C77" s="264">
        <f>C73*$B$77</f>
        <v>167608.18080000006</v>
      </c>
      <c r="D77" s="264">
        <f t="shared" ref="D77:G77" si="36">D73*$B$77</f>
        <v>352021.80705882353</v>
      </c>
      <c r="E77" s="264">
        <f t="shared" si="36"/>
        <v>470390.58211764711</v>
      </c>
      <c r="F77" s="264">
        <f t="shared" si="36"/>
        <v>594301.8091764705</v>
      </c>
      <c r="G77" s="264">
        <f t="shared" si="36"/>
        <v>722514.32999999984</v>
      </c>
    </row>
    <row r="78" spans="1:9" x14ac:dyDescent="0.25">
      <c r="A78" s="262" t="s">
        <v>368</v>
      </c>
      <c r="B78" s="265">
        <f>L15</f>
        <v>1199892.0000000002</v>
      </c>
      <c r="C78" s="266">
        <f>C77/$B$78</f>
        <v>0.13968605574501708</v>
      </c>
      <c r="D78" s="266">
        <f t="shared" ref="D78:G78" si="37">D77/$B$78</f>
        <v>0.29337790989424334</v>
      </c>
      <c r="E78" s="266">
        <f t="shared" si="37"/>
        <v>0.39202743423378689</v>
      </c>
      <c r="F78" s="266">
        <f t="shared" si="37"/>
        <v>0.49529608429464517</v>
      </c>
      <c r="G78" s="266">
        <f t="shared" si="37"/>
        <v>0.60214946845216044</v>
      </c>
    </row>
    <row r="79" spans="1:9" x14ac:dyDescent="0.25">
      <c r="A79" s="262" t="s">
        <v>369</v>
      </c>
      <c r="B79" s="263"/>
      <c r="C79" s="266">
        <f>C78/C1</f>
        <v>0.13968605574501708</v>
      </c>
      <c r="D79" s="266">
        <f t="shared" ref="D79:I79" si="38">D78/D1</f>
        <v>0.14668895494712167</v>
      </c>
      <c r="E79" s="266">
        <f t="shared" si="38"/>
        <v>0.1306758114112623</v>
      </c>
      <c r="F79" s="266">
        <f t="shared" si="38"/>
        <v>0.12382402107366129</v>
      </c>
      <c r="G79" s="266">
        <f t="shared" si="38"/>
        <v>0.12042989369043208</v>
      </c>
      <c r="H79" s="11">
        <f t="shared" si="38"/>
        <v>0</v>
      </c>
      <c r="I79" s="11">
        <f t="shared" si="38"/>
        <v>0</v>
      </c>
    </row>
    <row r="81" spans="1:7" x14ac:dyDescent="0.25">
      <c r="A81" s="267" t="s">
        <v>360</v>
      </c>
      <c r="B81" s="268">
        <v>0.42</v>
      </c>
      <c r="C81" s="269">
        <f>C73*$B$81</f>
        <v>116639.61120000004</v>
      </c>
      <c r="D81" s="269">
        <f t="shared" ref="D81:G81" si="39">D73*$B$81</f>
        <v>244974.24</v>
      </c>
      <c r="E81" s="269">
        <f t="shared" si="39"/>
        <v>327347.83200000005</v>
      </c>
      <c r="F81" s="269">
        <f t="shared" si="39"/>
        <v>413578.45199999993</v>
      </c>
      <c r="G81" s="269">
        <f t="shared" si="39"/>
        <v>502802.36999999988</v>
      </c>
    </row>
    <row r="82" spans="1:7" x14ac:dyDescent="0.25">
      <c r="A82" s="267" t="s">
        <v>361</v>
      </c>
      <c r="B82" s="268">
        <v>0.18</v>
      </c>
      <c r="C82" s="269">
        <f>$B$82*C73</f>
        <v>49988.404800000018</v>
      </c>
      <c r="D82" s="269">
        <f t="shared" ref="D82:G82" si="40">$B$82*D73</f>
        <v>104988.95999999999</v>
      </c>
      <c r="E82" s="269">
        <f t="shared" si="40"/>
        <v>140291.92800000001</v>
      </c>
      <c r="F82" s="269">
        <f t="shared" si="40"/>
        <v>177247.90799999997</v>
      </c>
      <c r="G82" s="269">
        <f t="shared" si="40"/>
        <v>215486.72999999995</v>
      </c>
    </row>
    <row r="83" spans="1:7" x14ac:dyDescent="0.25">
      <c r="A83" s="267" t="s">
        <v>359</v>
      </c>
      <c r="B83" s="268">
        <f>100%-B77</f>
        <v>0.39647058823529413</v>
      </c>
      <c r="C83" s="270">
        <f>$B$83*C73</f>
        <v>110105.17920000004</v>
      </c>
      <c r="D83" s="270">
        <f>$B$83*D73</f>
        <v>231250.19294117647</v>
      </c>
      <c r="E83" s="270">
        <f>$B$83*E73</f>
        <v>309009.01788235299</v>
      </c>
      <c r="F83" s="270">
        <f>$B$83*F73</f>
        <v>390408.79082352936</v>
      </c>
      <c r="G83" s="270">
        <f>$B$83*G73</f>
        <v>474634.16999999993</v>
      </c>
    </row>
    <row r="85" spans="1:7" x14ac:dyDescent="0.25">
      <c r="A85" s="262" t="s">
        <v>362</v>
      </c>
      <c r="B85" s="262" t="s">
        <v>364</v>
      </c>
      <c r="C85" s="262"/>
      <c r="D85" s="262"/>
      <c r="E85" s="262"/>
      <c r="F85" s="262"/>
      <c r="G85" s="262"/>
    </row>
    <row r="86" spans="1:7" x14ac:dyDescent="0.25">
      <c r="A86" s="262" t="s">
        <v>360</v>
      </c>
      <c r="B86" s="264">
        <f>L13</f>
        <v>800000</v>
      </c>
      <c r="C86" s="266">
        <f>C81/$B$86</f>
        <v>0.14579951400000005</v>
      </c>
      <c r="D86" s="266">
        <f t="shared" ref="D86:G86" si="41">D81/$B$86</f>
        <v>0.30621779999999998</v>
      </c>
      <c r="E86" s="266">
        <f t="shared" si="41"/>
        <v>0.40918479000000008</v>
      </c>
      <c r="F86" s="266">
        <f t="shared" si="41"/>
        <v>0.51697306499999995</v>
      </c>
      <c r="G86" s="266">
        <f t="shared" si="41"/>
        <v>0.62850296249999982</v>
      </c>
    </row>
    <row r="87" spans="1:7" x14ac:dyDescent="0.25">
      <c r="A87" s="262" t="s">
        <v>361</v>
      </c>
      <c r="B87" s="264">
        <f>L14</f>
        <v>399892.00000000023</v>
      </c>
      <c r="C87" s="266">
        <f>C82/$B$87</f>
        <v>0.12500476328608723</v>
      </c>
      <c r="D87" s="266">
        <f t="shared" ref="D87:G87" si="42">D82/$B$87</f>
        <v>0.26254328668740545</v>
      </c>
      <c r="E87" s="266">
        <f t="shared" si="42"/>
        <v>0.35082454262650897</v>
      </c>
      <c r="F87" s="266">
        <f t="shared" si="42"/>
        <v>0.44323944465005516</v>
      </c>
      <c r="G87" s="266">
        <f t="shared" si="42"/>
        <v>0.53886231782581251</v>
      </c>
    </row>
    <row r="89" spans="1:7" x14ac:dyDescent="0.25">
      <c r="A89" s="262" t="s">
        <v>367</v>
      </c>
      <c r="B89" s="262" t="s">
        <v>364</v>
      </c>
      <c r="C89" s="262"/>
      <c r="D89" s="262"/>
      <c r="E89" s="262"/>
      <c r="F89" s="262"/>
      <c r="G89" s="262"/>
    </row>
    <row r="90" spans="1:7" x14ac:dyDescent="0.25">
      <c r="A90" s="262" t="s">
        <v>360</v>
      </c>
      <c r="B90" s="264">
        <f>L17</f>
        <v>0</v>
      </c>
      <c r="C90" s="266">
        <f>C86/C1</f>
        <v>0.14579951400000005</v>
      </c>
      <c r="D90" s="266">
        <f t="shared" ref="D90:G90" si="43">D86/D1</f>
        <v>0.15310889999999999</v>
      </c>
      <c r="E90" s="266">
        <f t="shared" si="43"/>
        <v>0.13639493000000003</v>
      </c>
      <c r="F90" s="266">
        <f t="shared" si="43"/>
        <v>0.12924326624999999</v>
      </c>
      <c r="G90" s="266">
        <f t="shared" si="43"/>
        <v>0.12570059249999996</v>
      </c>
    </row>
    <row r="91" spans="1:7" x14ac:dyDescent="0.25">
      <c r="A91" s="262" t="s">
        <v>361</v>
      </c>
      <c r="B91" s="264">
        <f>L18</f>
        <v>0</v>
      </c>
      <c r="C91" s="266">
        <f>C87/C1</f>
        <v>0.12500476328608723</v>
      </c>
      <c r="D91" s="266">
        <f t="shared" ref="D91:G91" si="44">D87/D1</f>
        <v>0.13127164334370273</v>
      </c>
      <c r="E91" s="266">
        <f t="shared" si="44"/>
        <v>0.11694151420883632</v>
      </c>
      <c r="F91" s="266">
        <f t="shared" si="44"/>
        <v>0.11080986116251379</v>
      </c>
      <c r="G91" s="266">
        <f t="shared" si="44"/>
        <v>0.1077724635651625</v>
      </c>
    </row>
    <row r="96" spans="1:7" x14ac:dyDescent="0.25">
      <c r="A96" t="s">
        <v>372</v>
      </c>
    </row>
    <row r="97" spans="1:2" x14ac:dyDescent="0.25">
      <c r="A97" t="s">
        <v>380</v>
      </c>
    </row>
    <row r="99" spans="1:2" x14ac:dyDescent="0.25">
      <c r="A99" s="8" t="s">
        <v>379</v>
      </c>
      <c r="B99" s="271">
        <f>+G5</f>
        <v>4398975</v>
      </c>
    </row>
    <row r="100" spans="1:2" x14ac:dyDescent="0.25">
      <c r="A100" s="8" t="s">
        <v>381</v>
      </c>
      <c r="B100" s="271">
        <f>G73</f>
        <v>1197148.4999999998</v>
      </c>
    </row>
    <row r="101" spans="1:2" x14ac:dyDescent="0.25">
      <c r="A101" s="8" t="s">
        <v>384</v>
      </c>
      <c r="B101" s="271">
        <v>200000</v>
      </c>
    </row>
    <row r="102" spans="1:2" x14ac:dyDescent="0.25">
      <c r="A102" s="8" t="s">
        <v>382</v>
      </c>
      <c r="B102" s="272">
        <f>200000/450000*0.18</f>
        <v>7.9999999999999988E-2</v>
      </c>
    </row>
    <row r="103" spans="1:2" x14ac:dyDescent="0.25">
      <c r="A103" s="8" t="s">
        <v>383</v>
      </c>
      <c r="B103" s="273">
        <f>+B102*B100</f>
        <v>95771.879999999961</v>
      </c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3BBBD-5063-4B20-A782-6F8839AF3269}">
  <dimension ref="A1:H40"/>
  <sheetViews>
    <sheetView zoomScale="130" zoomScaleNormal="130" workbookViewId="0">
      <pane xSplit="1" ySplit="2" topLeftCell="B3" activePane="bottomRight" state="frozen"/>
      <selection activeCell="A22" sqref="A22"/>
      <selection pane="topRight" activeCell="A22" sqref="A22"/>
      <selection pane="bottomLeft" activeCell="A22" sqref="A22"/>
      <selection pane="bottomRight" activeCell="A22" sqref="A22"/>
    </sheetView>
  </sheetViews>
  <sheetFormatPr defaultRowHeight="15" outlineLevelCol="1" x14ac:dyDescent="0.25"/>
  <cols>
    <col min="1" max="1" width="22" customWidth="1"/>
    <col min="2" max="2" width="13.5703125" customWidth="1"/>
    <col min="4" max="8" width="9" customWidth="1" outlineLevel="1"/>
  </cols>
  <sheetData>
    <row r="1" spans="1:8" x14ac:dyDescent="0.25">
      <c r="A1" s="66" t="s">
        <v>181</v>
      </c>
      <c r="B1" s="69"/>
      <c r="C1" s="73">
        <v>46023</v>
      </c>
      <c r="D1" s="73">
        <v>46054</v>
      </c>
      <c r="E1" s="73">
        <v>46082</v>
      </c>
      <c r="F1" s="73">
        <v>46113</v>
      </c>
      <c r="G1" s="73">
        <v>46143</v>
      </c>
      <c r="H1" s="74">
        <v>46174</v>
      </c>
    </row>
    <row r="2" spans="1:8" x14ac:dyDescent="0.25">
      <c r="A2" s="41" t="s">
        <v>89</v>
      </c>
      <c r="B2" s="75">
        <f>SUM(B3:B16)</f>
        <v>86309.599999999977</v>
      </c>
      <c r="C2" s="75">
        <f t="shared" ref="C2:G2" si="0">SUM(C3:C16)</f>
        <v>16616.533333333333</v>
      </c>
      <c r="D2" s="75">
        <f t="shared" si="0"/>
        <v>14262.133333333331</v>
      </c>
      <c r="E2" s="75">
        <f t="shared" si="0"/>
        <v>14607.733333333332</v>
      </c>
      <c r="F2" s="75">
        <f t="shared" si="0"/>
        <v>14607.733333333332</v>
      </c>
      <c r="G2" s="75">
        <f t="shared" si="0"/>
        <v>13107.733333333332</v>
      </c>
      <c r="H2" s="75">
        <f>SUM(H3:H16)</f>
        <v>13107.733333333332</v>
      </c>
    </row>
    <row r="3" spans="1:8" x14ac:dyDescent="0.25">
      <c r="A3" s="22" t="s">
        <v>82</v>
      </c>
      <c r="B3" s="58">
        <f t="shared" ref="B3:B24" si="1">SUM(C3:H3)</f>
        <v>59312.39999999998</v>
      </c>
      <c r="C3" s="10">
        <f>+((2760000*70%)*6.14%)/12</f>
        <v>9885.3999999999978</v>
      </c>
      <c r="D3" s="10">
        <f t="shared" ref="D3:H3" si="2">+((2760000*70%)*6.14%)/12</f>
        <v>9885.3999999999978</v>
      </c>
      <c r="E3" s="10">
        <f t="shared" si="2"/>
        <v>9885.3999999999978</v>
      </c>
      <c r="F3" s="10">
        <f t="shared" si="2"/>
        <v>9885.3999999999978</v>
      </c>
      <c r="G3" s="10">
        <f t="shared" si="2"/>
        <v>9885.3999999999978</v>
      </c>
      <c r="H3" s="10">
        <f t="shared" si="2"/>
        <v>9885.3999999999978</v>
      </c>
    </row>
    <row r="4" spans="1:8" x14ac:dyDescent="0.25">
      <c r="A4" s="22" t="s">
        <v>24</v>
      </c>
      <c r="B4" s="58">
        <f t="shared" si="1"/>
        <v>6349.9999999999991</v>
      </c>
      <c r="C4" s="44">
        <f>+(1270*10)/12</f>
        <v>1058.3333333333333</v>
      </c>
      <c r="D4" s="44">
        <f t="shared" ref="D4:H4" si="3">+(1270*10)/12</f>
        <v>1058.3333333333333</v>
      </c>
      <c r="E4" s="44">
        <f t="shared" si="3"/>
        <v>1058.3333333333333</v>
      </c>
      <c r="F4" s="44">
        <f t="shared" si="3"/>
        <v>1058.3333333333333</v>
      </c>
      <c r="G4" s="44">
        <f t="shared" si="3"/>
        <v>1058.3333333333333</v>
      </c>
      <c r="H4" s="44">
        <f t="shared" si="3"/>
        <v>1058.3333333333333</v>
      </c>
    </row>
    <row r="5" spans="1:8" x14ac:dyDescent="0.25">
      <c r="A5" s="22" t="s">
        <v>25</v>
      </c>
      <c r="B5" s="58">
        <f t="shared" si="1"/>
        <v>3000</v>
      </c>
      <c r="C5" s="10">
        <v>500</v>
      </c>
      <c r="D5" s="10">
        <v>500</v>
      </c>
      <c r="E5" s="10">
        <v>500</v>
      </c>
      <c r="F5" s="10">
        <v>500</v>
      </c>
      <c r="G5" s="10">
        <v>500</v>
      </c>
      <c r="H5" s="10">
        <v>500</v>
      </c>
    </row>
    <row r="6" spans="1:8" x14ac:dyDescent="0.25">
      <c r="A6" s="22" t="s">
        <v>83</v>
      </c>
      <c r="B6" s="58">
        <f t="shared" si="1"/>
        <v>1500</v>
      </c>
      <c r="C6" s="10"/>
      <c r="D6" s="10">
        <v>300</v>
      </c>
      <c r="E6" s="10">
        <v>300</v>
      </c>
      <c r="F6" s="10">
        <v>300</v>
      </c>
      <c r="G6" s="10">
        <v>300</v>
      </c>
      <c r="H6" s="24">
        <v>300</v>
      </c>
    </row>
    <row r="7" spans="1:8" x14ac:dyDescent="0.25">
      <c r="A7" s="22" t="s">
        <v>26</v>
      </c>
      <c r="B7" s="58">
        <f t="shared" si="1"/>
        <v>2500</v>
      </c>
      <c r="C7" s="10"/>
      <c r="D7" s="10">
        <v>500</v>
      </c>
      <c r="E7" s="10">
        <v>500</v>
      </c>
      <c r="F7" s="10">
        <v>500</v>
      </c>
      <c r="G7" s="10">
        <v>500</v>
      </c>
      <c r="H7" s="24">
        <v>500</v>
      </c>
    </row>
    <row r="8" spans="1:8" x14ac:dyDescent="0.25">
      <c r="A8" s="22" t="s">
        <v>182</v>
      </c>
      <c r="B8" s="58">
        <f t="shared" si="1"/>
        <v>4147.2</v>
      </c>
      <c r="C8" s="10">
        <f t="shared" ref="C8:H8" si="4">+C22*6%</f>
        <v>172.79999999999998</v>
      </c>
      <c r="D8" s="10">
        <f t="shared" si="4"/>
        <v>518.4</v>
      </c>
      <c r="E8" s="10">
        <f t="shared" si="4"/>
        <v>864</v>
      </c>
      <c r="F8" s="10">
        <f t="shared" si="4"/>
        <v>864</v>
      </c>
      <c r="G8" s="10">
        <f t="shared" si="4"/>
        <v>864</v>
      </c>
      <c r="H8" s="24">
        <f t="shared" si="4"/>
        <v>864</v>
      </c>
    </row>
    <row r="9" spans="1:8" x14ac:dyDescent="0.25">
      <c r="A9" s="22" t="s">
        <v>183</v>
      </c>
      <c r="B9" s="58">
        <f t="shared" ref="B9" si="5">SUM(C9:H9)</f>
        <v>5500</v>
      </c>
      <c r="C9" s="10">
        <v>2200</v>
      </c>
      <c r="D9" s="10">
        <v>1100</v>
      </c>
      <c r="E9" s="10">
        <v>1100</v>
      </c>
      <c r="F9" s="10">
        <v>1100</v>
      </c>
      <c r="G9" s="10"/>
      <c r="H9" s="24"/>
    </row>
    <row r="10" spans="1:8" x14ac:dyDescent="0.25">
      <c r="A10" s="22" t="s">
        <v>29</v>
      </c>
      <c r="B10" s="58">
        <f>SUM(C10:H10)</f>
        <v>0</v>
      </c>
      <c r="C10" s="10"/>
      <c r="D10" s="10"/>
      <c r="E10" s="10"/>
      <c r="F10" s="10"/>
      <c r="G10" s="10"/>
      <c r="H10" s="24"/>
    </row>
    <row r="11" spans="1:8" x14ac:dyDescent="0.25">
      <c r="A11" s="22" t="s">
        <v>30</v>
      </c>
      <c r="B11" s="58">
        <f t="shared" si="1"/>
        <v>2000</v>
      </c>
      <c r="C11" s="10">
        <f>200*C20</f>
        <v>800</v>
      </c>
      <c r="D11" s="10">
        <f>200*(D20-C20)</f>
        <v>400</v>
      </c>
      <c r="E11" s="10">
        <f>200*(E20-D20)</f>
        <v>400</v>
      </c>
      <c r="F11" s="10">
        <f>200*(F20-E20)</f>
        <v>400</v>
      </c>
      <c r="G11" s="10">
        <f>200*(G20-F20)</f>
        <v>0</v>
      </c>
      <c r="H11" s="24">
        <f>200*(H20-G20)</f>
        <v>0</v>
      </c>
    </row>
    <row r="12" spans="1:8" x14ac:dyDescent="0.25">
      <c r="A12" s="22" t="s">
        <v>31</v>
      </c>
      <c r="B12" s="58">
        <f t="shared" si="1"/>
        <v>2000</v>
      </c>
      <c r="C12" s="10">
        <v>2000</v>
      </c>
      <c r="D12" s="10"/>
      <c r="E12" s="10"/>
      <c r="F12" s="10"/>
      <c r="G12" s="10"/>
      <c r="H12" s="24"/>
    </row>
    <row r="13" spans="1:8" x14ac:dyDescent="0.25">
      <c r="A13" s="22"/>
      <c r="B13" s="58"/>
      <c r="C13" s="10"/>
      <c r="D13" s="10"/>
      <c r="E13" s="10"/>
      <c r="F13" s="10"/>
      <c r="G13" s="10"/>
      <c r="H13" s="24"/>
    </row>
    <row r="14" spans="1:8" x14ac:dyDescent="0.25">
      <c r="A14" s="22"/>
      <c r="B14" s="58">
        <f t="shared" si="1"/>
        <v>0</v>
      </c>
      <c r="C14" s="10"/>
      <c r="D14" s="10"/>
      <c r="E14" s="10"/>
      <c r="F14" s="10"/>
      <c r="G14" s="10"/>
      <c r="H14" s="24"/>
    </row>
    <row r="15" spans="1:8" x14ac:dyDescent="0.25">
      <c r="A15" s="22"/>
      <c r="B15" s="58">
        <f t="shared" si="1"/>
        <v>0</v>
      </c>
      <c r="C15" s="10"/>
      <c r="D15" s="10"/>
      <c r="E15" s="10"/>
      <c r="F15" s="10"/>
      <c r="G15" s="10"/>
      <c r="H15" s="24"/>
    </row>
    <row r="16" spans="1:8" ht="15.75" thickBot="1" x14ac:dyDescent="0.3">
      <c r="A16" s="49"/>
      <c r="B16" s="64">
        <f t="shared" si="1"/>
        <v>0</v>
      </c>
      <c r="C16" s="71"/>
      <c r="D16" s="71"/>
      <c r="E16" s="71"/>
      <c r="F16" s="71"/>
      <c r="G16" s="71"/>
      <c r="H16" s="72"/>
    </row>
    <row r="17" spans="1:8" ht="15.75" thickBot="1" x14ac:dyDescent="0.3">
      <c r="B17" s="55"/>
      <c r="C17" s="5"/>
      <c r="D17" s="5"/>
      <c r="E17" s="5"/>
      <c r="F17" s="5"/>
      <c r="G17" s="5"/>
      <c r="H17" s="5"/>
    </row>
    <row r="18" spans="1:8" x14ac:dyDescent="0.25">
      <c r="A18" s="66" t="s">
        <v>184</v>
      </c>
      <c r="B18" s="78"/>
      <c r="C18" s="68"/>
      <c r="D18" s="68"/>
      <c r="E18" s="68"/>
      <c r="F18" s="68"/>
      <c r="G18" s="68"/>
      <c r="H18" s="79"/>
    </row>
    <row r="19" spans="1:8" x14ac:dyDescent="0.25">
      <c r="A19" s="22" t="s">
        <v>185</v>
      </c>
      <c r="B19" s="58"/>
      <c r="C19" s="10">
        <v>360</v>
      </c>
      <c r="D19" s="10">
        <v>360</v>
      </c>
      <c r="E19" s="10">
        <v>360</v>
      </c>
      <c r="F19" s="10">
        <v>360</v>
      </c>
      <c r="G19" s="10">
        <v>360</v>
      </c>
      <c r="H19" s="10">
        <v>360</v>
      </c>
    </row>
    <row r="20" spans="1:8" x14ac:dyDescent="0.25">
      <c r="A20" s="22" t="s">
        <v>186</v>
      </c>
      <c r="B20" s="58"/>
      <c r="C20" s="10">
        <v>4</v>
      </c>
      <c r="D20" s="10">
        <v>6</v>
      </c>
      <c r="E20" s="10">
        <v>8</v>
      </c>
      <c r="F20" s="10">
        <v>10</v>
      </c>
      <c r="G20" s="10">
        <v>10</v>
      </c>
      <c r="H20" s="24">
        <v>10</v>
      </c>
    </row>
    <row r="21" spans="1:8" x14ac:dyDescent="0.25">
      <c r="A21" s="22" t="s">
        <v>187</v>
      </c>
      <c r="B21" s="58">
        <f t="shared" si="1"/>
        <v>23</v>
      </c>
      <c r="C21" s="10">
        <v>2</v>
      </c>
      <c r="D21" s="10">
        <v>4</v>
      </c>
      <c r="E21" s="10">
        <v>5</v>
      </c>
      <c r="F21" s="10">
        <v>4</v>
      </c>
      <c r="G21" s="10">
        <v>4</v>
      </c>
      <c r="H21" s="24">
        <v>4</v>
      </c>
    </row>
    <row r="22" spans="1:8" x14ac:dyDescent="0.25">
      <c r="A22" s="22" t="s">
        <v>188</v>
      </c>
      <c r="B22" s="58">
        <f t="shared" si="1"/>
        <v>69120</v>
      </c>
      <c r="C22" s="10">
        <f>+C19*C20*C21</f>
        <v>2880</v>
      </c>
      <c r="D22" s="10">
        <f t="shared" ref="D22:H22" si="6">+D19*D20*D21</f>
        <v>8640</v>
      </c>
      <c r="E22" s="10">
        <f t="shared" si="6"/>
        <v>14400</v>
      </c>
      <c r="F22" s="10">
        <f t="shared" si="6"/>
        <v>14400</v>
      </c>
      <c r="G22" s="10">
        <f t="shared" si="6"/>
        <v>14400</v>
      </c>
      <c r="H22" s="24">
        <f t="shared" si="6"/>
        <v>14400</v>
      </c>
    </row>
    <row r="23" spans="1:8" x14ac:dyDescent="0.25">
      <c r="A23" s="22"/>
      <c r="B23" s="58">
        <f t="shared" si="1"/>
        <v>0</v>
      </c>
      <c r="C23" s="10"/>
      <c r="D23" s="10"/>
      <c r="E23" s="10"/>
      <c r="F23" s="10"/>
      <c r="G23" s="10"/>
      <c r="H23" s="24"/>
    </row>
    <row r="24" spans="1:8" x14ac:dyDescent="0.25">
      <c r="A24" s="22"/>
      <c r="B24" s="58">
        <f t="shared" si="1"/>
        <v>0</v>
      </c>
      <c r="C24" s="10"/>
      <c r="D24" s="10"/>
      <c r="E24" s="10"/>
      <c r="F24" s="10"/>
      <c r="G24" s="10"/>
      <c r="H24" s="24"/>
    </row>
    <row r="25" spans="1:8" ht="15.75" thickBot="1" x14ac:dyDescent="0.3">
      <c r="A25" s="80" t="s">
        <v>189</v>
      </c>
      <c r="B25" s="81">
        <f t="shared" ref="B25:G25" si="7">B22-B2</f>
        <v>-17189.599999999977</v>
      </c>
      <c r="C25" s="81">
        <f t="shared" si="7"/>
        <v>-13736.533333333333</v>
      </c>
      <c r="D25" s="81">
        <f t="shared" si="7"/>
        <v>-5622.1333333333314</v>
      </c>
      <c r="E25" s="81">
        <f t="shared" si="7"/>
        <v>-207.73333333333176</v>
      </c>
      <c r="F25" s="81">
        <f t="shared" si="7"/>
        <v>-207.73333333333176</v>
      </c>
      <c r="G25" s="81">
        <f t="shared" si="7"/>
        <v>1292.2666666666682</v>
      </c>
      <c r="H25" s="81">
        <f>H22-H2</f>
        <v>1292.2666666666682</v>
      </c>
    </row>
    <row r="26" spans="1:8" x14ac:dyDescent="0.25">
      <c r="C26" s="5"/>
      <c r="D26" s="5"/>
      <c r="E26" s="5"/>
      <c r="F26" s="5"/>
      <c r="G26" s="5"/>
      <c r="H26" s="5"/>
    </row>
    <row r="27" spans="1:8" x14ac:dyDescent="0.25">
      <c r="C27" s="5"/>
      <c r="D27" s="5"/>
      <c r="E27" s="5"/>
      <c r="F27" s="5"/>
      <c r="G27" s="5"/>
      <c r="H27" s="5"/>
    </row>
    <row r="28" spans="1:8" x14ac:dyDescent="0.25">
      <c r="C28" s="5"/>
      <c r="D28" s="5"/>
      <c r="E28" s="5"/>
      <c r="F28" s="5"/>
      <c r="G28" s="5"/>
      <c r="H28" s="5"/>
    </row>
    <row r="29" spans="1:8" x14ac:dyDescent="0.25">
      <c r="C29" s="5"/>
      <c r="D29" s="5"/>
      <c r="E29" s="5"/>
      <c r="F29" s="5"/>
      <c r="G29" s="5"/>
      <c r="H29" s="5"/>
    </row>
    <row r="30" spans="1:8" x14ac:dyDescent="0.25">
      <c r="C30" s="5"/>
      <c r="D30" s="5"/>
      <c r="E30" s="5"/>
      <c r="F30" s="5"/>
      <c r="G30" s="5"/>
      <c r="H30" s="5"/>
    </row>
    <row r="31" spans="1:8" x14ac:dyDescent="0.25">
      <c r="C31" s="5"/>
      <c r="D31" s="5"/>
      <c r="E31" s="5"/>
      <c r="F31" s="5"/>
      <c r="G31" s="5"/>
      <c r="H31" s="5"/>
    </row>
    <row r="32" spans="1:8" x14ac:dyDescent="0.25">
      <c r="C32" s="5"/>
      <c r="D32" s="5"/>
      <c r="E32" s="5"/>
      <c r="F32" s="5"/>
      <c r="G32" s="5"/>
      <c r="H32" s="5"/>
    </row>
    <row r="33" spans="3:8" x14ac:dyDescent="0.25">
      <c r="C33" s="5"/>
      <c r="D33" s="5"/>
      <c r="E33" s="5"/>
      <c r="F33" s="5"/>
      <c r="G33" s="5"/>
      <c r="H33" s="5"/>
    </row>
    <row r="34" spans="3:8" x14ac:dyDescent="0.25">
      <c r="C34" s="5"/>
      <c r="D34" s="5"/>
      <c r="E34" s="5"/>
      <c r="F34" s="5"/>
      <c r="G34" s="5"/>
      <c r="H34" s="5"/>
    </row>
    <row r="35" spans="3:8" x14ac:dyDescent="0.25">
      <c r="C35" s="5"/>
      <c r="D35" s="5"/>
      <c r="E35" s="5"/>
      <c r="F35" s="5"/>
      <c r="G35" s="5"/>
      <c r="H35" s="5"/>
    </row>
    <row r="36" spans="3:8" x14ac:dyDescent="0.25">
      <c r="C36" s="5"/>
      <c r="D36" s="5"/>
      <c r="E36" s="5"/>
      <c r="F36" s="5"/>
      <c r="G36" s="5"/>
      <c r="H36" s="5"/>
    </row>
    <row r="37" spans="3:8" x14ac:dyDescent="0.25">
      <c r="C37" s="5"/>
      <c r="D37" s="5"/>
      <c r="E37" s="5"/>
      <c r="F37" s="5"/>
      <c r="G37" s="5"/>
      <c r="H37" s="5"/>
    </row>
    <row r="38" spans="3:8" x14ac:dyDescent="0.25">
      <c r="C38" s="5"/>
      <c r="D38" s="5"/>
      <c r="E38" s="5"/>
      <c r="F38" s="5"/>
      <c r="G38" s="5"/>
      <c r="H38" s="5"/>
    </row>
    <row r="39" spans="3:8" x14ac:dyDescent="0.25">
      <c r="C39" s="5"/>
      <c r="D39" s="5"/>
      <c r="E39" s="5"/>
      <c r="F39" s="5"/>
      <c r="G39" s="5"/>
      <c r="H39" s="5"/>
    </row>
    <row r="40" spans="3:8" x14ac:dyDescent="0.25">
      <c r="C40" s="5"/>
      <c r="D40" s="5"/>
      <c r="E40" s="5"/>
      <c r="F40" s="5"/>
      <c r="G40" s="5"/>
      <c r="H40" s="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BF599-99A5-4397-9362-B5E57F4B77B6}">
  <dimension ref="A1:N38"/>
  <sheetViews>
    <sheetView zoomScale="130" zoomScaleNormal="130" workbookViewId="0">
      <pane xSplit="1" ySplit="1" topLeftCell="B2" activePane="bottomRight" state="frozen"/>
      <selection activeCell="A22" sqref="A22"/>
      <selection pane="topRight" activeCell="A22" sqref="A22"/>
      <selection pane="bottomLeft" activeCell="A22" sqref="A22"/>
      <selection pane="bottomRight" activeCell="A22" sqref="A22"/>
    </sheetView>
  </sheetViews>
  <sheetFormatPr defaultRowHeight="15" x14ac:dyDescent="0.25"/>
  <cols>
    <col min="1" max="1" width="23.42578125" customWidth="1"/>
    <col min="2" max="2" width="9.5703125" customWidth="1"/>
    <col min="4" max="8" width="9" customWidth="1"/>
  </cols>
  <sheetData>
    <row r="1" spans="1:14" x14ac:dyDescent="0.25">
      <c r="A1" s="59" t="s">
        <v>181</v>
      </c>
      <c r="B1" s="60" t="s">
        <v>190</v>
      </c>
      <c r="C1" s="61">
        <v>46204</v>
      </c>
      <c r="D1" s="61">
        <v>46235</v>
      </c>
      <c r="E1" s="61">
        <v>46266</v>
      </c>
      <c r="F1" s="61">
        <v>46296</v>
      </c>
      <c r="G1" s="61">
        <v>46327</v>
      </c>
      <c r="H1" s="61">
        <v>46357</v>
      </c>
      <c r="I1" s="61">
        <v>46388</v>
      </c>
      <c r="J1" s="61">
        <v>46419</v>
      </c>
      <c r="K1" s="61">
        <v>46447</v>
      </c>
      <c r="L1" s="61">
        <v>46478</v>
      </c>
      <c r="M1" s="61">
        <v>46508</v>
      </c>
      <c r="N1" s="62">
        <v>46539</v>
      </c>
    </row>
    <row r="2" spans="1:14" x14ac:dyDescent="0.25">
      <c r="A2" s="22" t="s">
        <v>82</v>
      </c>
      <c r="B2" s="57">
        <f t="shared" ref="B2:B21" si="0">SUM(C2:N2)</f>
        <v>115919.99999999999</v>
      </c>
      <c r="C2" s="10">
        <f>+((2760000*70%)*6%)/12</f>
        <v>9659.9999999999982</v>
      </c>
      <c r="D2" s="10">
        <f t="shared" ref="D2:N2" si="1">+((2760000*70%)*6%)/12</f>
        <v>9659.9999999999982</v>
      </c>
      <c r="E2" s="10">
        <f t="shared" si="1"/>
        <v>9659.9999999999982</v>
      </c>
      <c r="F2" s="10">
        <f t="shared" si="1"/>
        <v>9659.9999999999982</v>
      </c>
      <c r="G2" s="10">
        <f t="shared" si="1"/>
        <v>9659.9999999999982</v>
      </c>
      <c r="H2" s="10">
        <f t="shared" si="1"/>
        <v>9659.9999999999982</v>
      </c>
      <c r="I2" s="10">
        <f t="shared" si="1"/>
        <v>9659.9999999999982</v>
      </c>
      <c r="J2" s="10">
        <f t="shared" si="1"/>
        <v>9659.9999999999982</v>
      </c>
      <c r="K2" s="10">
        <f t="shared" si="1"/>
        <v>9659.9999999999982</v>
      </c>
      <c r="L2" s="10">
        <f t="shared" si="1"/>
        <v>9659.9999999999982</v>
      </c>
      <c r="M2" s="10">
        <f t="shared" si="1"/>
        <v>9659.9999999999982</v>
      </c>
      <c r="N2" s="10">
        <f t="shared" si="1"/>
        <v>9659.9999999999982</v>
      </c>
    </row>
    <row r="3" spans="1:14" x14ac:dyDescent="0.25">
      <c r="A3" s="22" t="s">
        <v>24</v>
      </c>
      <c r="B3" s="57">
        <f t="shared" si="0"/>
        <v>12720</v>
      </c>
      <c r="C3" s="8">
        <v>1060</v>
      </c>
      <c r="D3" s="8">
        <v>1060</v>
      </c>
      <c r="E3" s="8">
        <v>1060</v>
      </c>
      <c r="F3" s="8">
        <v>1060</v>
      </c>
      <c r="G3" s="8">
        <v>1060</v>
      </c>
      <c r="H3" s="8">
        <v>1060</v>
      </c>
      <c r="I3" s="8">
        <v>1060</v>
      </c>
      <c r="J3" s="8">
        <v>1060</v>
      </c>
      <c r="K3" s="8">
        <v>1060</v>
      </c>
      <c r="L3" s="8">
        <v>1060</v>
      </c>
      <c r="M3" s="8">
        <v>1060</v>
      </c>
      <c r="N3" s="8">
        <v>1060</v>
      </c>
    </row>
    <row r="4" spans="1:14" x14ac:dyDescent="0.25">
      <c r="A4" s="22" t="s">
        <v>25</v>
      </c>
      <c r="B4" s="57">
        <f t="shared" si="0"/>
        <v>6000</v>
      </c>
      <c r="C4" s="10">
        <v>500</v>
      </c>
      <c r="D4" s="10">
        <v>500</v>
      </c>
      <c r="E4" s="10">
        <v>500</v>
      </c>
      <c r="F4" s="10">
        <v>500</v>
      </c>
      <c r="G4" s="10">
        <v>500</v>
      </c>
      <c r="H4" s="10">
        <v>500</v>
      </c>
      <c r="I4" s="10">
        <v>500</v>
      </c>
      <c r="J4" s="10">
        <v>500</v>
      </c>
      <c r="K4" s="10">
        <v>500</v>
      </c>
      <c r="L4" s="10">
        <v>500</v>
      </c>
      <c r="M4" s="10">
        <v>500</v>
      </c>
      <c r="N4" s="10">
        <v>500</v>
      </c>
    </row>
    <row r="5" spans="1:14" x14ac:dyDescent="0.25">
      <c r="A5" s="22" t="s">
        <v>83</v>
      </c>
      <c r="B5" s="57">
        <f t="shared" si="0"/>
        <v>3600</v>
      </c>
      <c r="C5" s="10">
        <v>300</v>
      </c>
      <c r="D5" s="10">
        <v>300</v>
      </c>
      <c r="E5" s="10">
        <v>300</v>
      </c>
      <c r="F5" s="10">
        <v>300</v>
      </c>
      <c r="G5" s="10">
        <v>300</v>
      </c>
      <c r="H5" s="10">
        <v>300</v>
      </c>
      <c r="I5" s="10">
        <v>300</v>
      </c>
      <c r="J5" s="10">
        <v>300</v>
      </c>
      <c r="K5" s="10">
        <v>300</v>
      </c>
      <c r="L5" s="10">
        <v>300</v>
      </c>
      <c r="M5" s="10">
        <v>300</v>
      </c>
      <c r="N5" s="24">
        <v>300</v>
      </c>
    </row>
    <row r="6" spans="1:14" x14ac:dyDescent="0.25">
      <c r="A6" s="22" t="s">
        <v>26</v>
      </c>
      <c r="B6" s="57">
        <f t="shared" si="0"/>
        <v>6180</v>
      </c>
      <c r="C6" s="10">
        <f>500*1.03</f>
        <v>515</v>
      </c>
      <c r="D6" s="10">
        <f t="shared" ref="D6:N6" si="2">500*1.03</f>
        <v>515</v>
      </c>
      <c r="E6" s="10">
        <f t="shared" si="2"/>
        <v>515</v>
      </c>
      <c r="F6" s="10">
        <f t="shared" si="2"/>
        <v>515</v>
      </c>
      <c r="G6" s="10">
        <f t="shared" si="2"/>
        <v>515</v>
      </c>
      <c r="H6" s="10">
        <f t="shared" si="2"/>
        <v>515</v>
      </c>
      <c r="I6" s="10">
        <f t="shared" si="2"/>
        <v>515</v>
      </c>
      <c r="J6" s="10">
        <f t="shared" si="2"/>
        <v>515</v>
      </c>
      <c r="K6" s="10">
        <f t="shared" si="2"/>
        <v>515</v>
      </c>
      <c r="L6" s="10">
        <f t="shared" si="2"/>
        <v>515</v>
      </c>
      <c r="M6" s="10">
        <f t="shared" si="2"/>
        <v>515</v>
      </c>
      <c r="N6" s="10">
        <f t="shared" si="2"/>
        <v>515</v>
      </c>
    </row>
    <row r="7" spans="1:14" x14ac:dyDescent="0.25">
      <c r="A7" s="22" t="s">
        <v>182</v>
      </c>
      <c r="B7" s="57">
        <f t="shared" si="0"/>
        <v>11016.000000000002</v>
      </c>
      <c r="C7" s="10">
        <f>+C21*6%</f>
        <v>1080</v>
      </c>
      <c r="D7" s="10">
        <f t="shared" ref="D7:H7" si="3">+D21*6%</f>
        <v>864</v>
      </c>
      <c r="E7" s="10">
        <f t="shared" si="3"/>
        <v>1080</v>
      </c>
      <c r="F7" s="10">
        <f t="shared" si="3"/>
        <v>864</v>
      </c>
      <c r="G7" s="10">
        <f t="shared" si="3"/>
        <v>864</v>
      </c>
      <c r="H7" s="10">
        <f t="shared" si="3"/>
        <v>864</v>
      </c>
      <c r="I7" s="10">
        <f>+I21*6%</f>
        <v>864</v>
      </c>
      <c r="J7" s="10">
        <f t="shared" ref="J7:N7" si="4">+J21*6%</f>
        <v>907.19999999999993</v>
      </c>
      <c r="K7" s="10">
        <f t="shared" si="4"/>
        <v>907.19999999999993</v>
      </c>
      <c r="L7" s="10">
        <f t="shared" si="4"/>
        <v>907.19999999999993</v>
      </c>
      <c r="M7" s="10">
        <f t="shared" si="4"/>
        <v>907.19999999999993</v>
      </c>
      <c r="N7" s="24">
        <f t="shared" si="4"/>
        <v>907.19999999999993</v>
      </c>
    </row>
    <row r="8" spans="1:14" x14ac:dyDescent="0.25">
      <c r="A8" s="22" t="s">
        <v>28</v>
      </c>
      <c r="B8" s="57">
        <f>SUM(C8:N8)</f>
        <v>2000</v>
      </c>
      <c r="C8" s="10"/>
      <c r="D8" s="10"/>
      <c r="E8" s="10">
        <v>1000</v>
      </c>
      <c r="F8" s="10"/>
      <c r="G8" s="10"/>
      <c r="H8" s="10"/>
      <c r="I8" s="8"/>
      <c r="J8" s="8"/>
      <c r="K8" s="8">
        <v>1000</v>
      </c>
      <c r="L8" s="8"/>
      <c r="M8" s="8"/>
      <c r="N8" s="25"/>
    </row>
    <row r="9" spans="1:14" x14ac:dyDescent="0.25">
      <c r="A9" s="22" t="s">
        <v>29</v>
      </c>
      <c r="B9" s="57">
        <f>SUM(C9:N9)</f>
        <v>29000</v>
      </c>
      <c r="C9" s="10"/>
      <c r="D9" s="10"/>
      <c r="E9" s="10"/>
      <c r="F9" s="10"/>
      <c r="G9" s="10"/>
      <c r="H9" s="10"/>
      <c r="I9" s="8"/>
      <c r="J9" s="8"/>
      <c r="K9" s="8"/>
      <c r="L9" s="8"/>
      <c r="M9" s="8">
        <v>29000</v>
      </c>
      <c r="N9" s="25"/>
    </row>
    <row r="10" spans="1:14" x14ac:dyDescent="0.25">
      <c r="A10" s="22" t="s">
        <v>30</v>
      </c>
      <c r="B10" s="57">
        <f t="shared" si="0"/>
        <v>0</v>
      </c>
      <c r="C10" s="10"/>
      <c r="D10" s="10"/>
      <c r="E10" s="10"/>
      <c r="F10" s="10"/>
      <c r="G10" s="10">
        <f t="shared" ref="G10:H10" si="5">200*(G19-F19)</f>
        <v>0</v>
      </c>
      <c r="H10" s="10">
        <f t="shared" si="5"/>
        <v>0</v>
      </c>
      <c r="I10" s="10"/>
      <c r="J10" s="10">
        <f>200*(J19-I19)</f>
        <v>0</v>
      </c>
      <c r="K10" s="10">
        <f t="shared" ref="K10:N10" si="6">200*(K19-J19)</f>
        <v>0</v>
      </c>
      <c r="L10" s="10">
        <f t="shared" si="6"/>
        <v>0</v>
      </c>
      <c r="M10" s="10">
        <f t="shared" si="6"/>
        <v>0</v>
      </c>
      <c r="N10" s="24">
        <f t="shared" si="6"/>
        <v>0</v>
      </c>
    </row>
    <row r="11" spans="1:14" x14ac:dyDescent="0.25">
      <c r="A11" s="22" t="s">
        <v>31</v>
      </c>
      <c r="B11" s="57">
        <f t="shared" si="0"/>
        <v>0</v>
      </c>
      <c r="C11" s="10"/>
      <c r="D11" s="10"/>
      <c r="E11" s="10"/>
      <c r="F11" s="10"/>
      <c r="G11" s="10"/>
      <c r="H11" s="10"/>
      <c r="I11" s="8"/>
      <c r="J11" s="8"/>
      <c r="K11" s="8"/>
      <c r="L11" s="8"/>
      <c r="M11" s="8"/>
      <c r="N11" s="25"/>
    </row>
    <row r="12" spans="1:14" x14ac:dyDescent="0.25">
      <c r="A12" s="22"/>
      <c r="B12" s="57">
        <f t="shared" si="0"/>
        <v>0</v>
      </c>
      <c r="C12" s="10"/>
      <c r="D12" s="10"/>
      <c r="E12" s="10"/>
      <c r="F12" s="10"/>
      <c r="G12" s="10"/>
      <c r="H12" s="10"/>
      <c r="I12" s="8"/>
      <c r="J12" s="8"/>
      <c r="K12" s="8"/>
      <c r="L12" s="8"/>
      <c r="M12" s="8"/>
      <c r="N12" s="25"/>
    </row>
    <row r="13" spans="1:14" x14ac:dyDescent="0.25">
      <c r="A13" s="22"/>
      <c r="B13" s="57"/>
      <c r="C13" s="10"/>
      <c r="D13" s="10"/>
      <c r="E13" s="10"/>
      <c r="F13" s="10"/>
      <c r="G13" s="10"/>
      <c r="H13" s="10"/>
      <c r="I13" s="8"/>
      <c r="J13" s="8"/>
      <c r="K13" s="8"/>
      <c r="L13" s="8"/>
      <c r="M13" s="8"/>
      <c r="N13" s="25"/>
    </row>
    <row r="14" spans="1:14" x14ac:dyDescent="0.25">
      <c r="A14" s="22"/>
      <c r="B14" s="57">
        <f t="shared" si="0"/>
        <v>0</v>
      </c>
      <c r="C14" s="10"/>
      <c r="D14" s="10"/>
      <c r="E14" s="10"/>
      <c r="F14" s="10"/>
      <c r="G14" s="10"/>
      <c r="H14" s="10"/>
      <c r="I14" s="8"/>
      <c r="J14" s="8"/>
      <c r="K14" s="8"/>
      <c r="L14" s="8"/>
      <c r="M14" s="8"/>
      <c r="N14" s="25"/>
    </row>
    <row r="15" spans="1:14" ht="15.75" thickBot="1" x14ac:dyDescent="0.3">
      <c r="A15" s="31" t="s">
        <v>96</v>
      </c>
      <c r="B15" s="65">
        <f t="shared" ref="B15:M15" si="7">SUM(B2:B14)</f>
        <v>186436</v>
      </c>
      <c r="C15" s="65">
        <f t="shared" si="7"/>
        <v>13114.999999999998</v>
      </c>
      <c r="D15" s="65">
        <f t="shared" si="7"/>
        <v>12898.999999999998</v>
      </c>
      <c r="E15" s="65">
        <f t="shared" si="7"/>
        <v>14114.999999999998</v>
      </c>
      <c r="F15" s="65">
        <f t="shared" si="7"/>
        <v>12898.999999999998</v>
      </c>
      <c r="G15" s="65">
        <f t="shared" si="7"/>
        <v>12898.999999999998</v>
      </c>
      <c r="H15" s="65">
        <f t="shared" si="7"/>
        <v>12898.999999999998</v>
      </c>
      <c r="I15" s="65">
        <f t="shared" si="7"/>
        <v>12898.999999999998</v>
      </c>
      <c r="J15" s="65">
        <f t="shared" si="7"/>
        <v>12942.199999999999</v>
      </c>
      <c r="K15" s="65">
        <f t="shared" si="7"/>
        <v>13942.199999999999</v>
      </c>
      <c r="L15" s="65">
        <f t="shared" si="7"/>
        <v>12942.199999999999</v>
      </c>
      <c r="M15" s="65">
        <f t="shared" si="7"/>
        <v>41942.199999999997</v>
      </c>
      <c r="N15" s="65">
        <f>SUM(N2:N14)</f>
        <v>12942.199999999999</v>
      </c>
    </row>
    <row r="16" spans="1:14" ht="15.75" thickBot="1" x14ac:dyDescent="0.3">
      <c r="B16" s="56"/>
      <c r="C16" s="5"/>
      <c r="D16" s="5"/>
      <c r="E16" s="5"/>
      <c r="F16" s="5"/>
      <c r="G16" s="5"/>
      <c r="H16" s="5"/>
    </row>
    <row r="17" spans="1:14" x14ac:dyDescent="0.25">
      <c r="A17" s="66" t="s">
        <v>184</v>
      </c>
      <c r="B17" s="67" t="s">
        <v>191</v>
      </c>
      <c r="C17" s="68"/>
      <c r="D17" s="68"/>
      <c r="E17" s="68"/>
      <c r="F17" s="68"/>
      <c r="G17" s="68"/>
      <c r="H17" s="68"/>
      <c r="I17" s="69"/>
      <c r="J17" s="77">
        <v>0.05</v>
      </c>
      <c r="K17" s="69"/>
      <c r="L17" s="69"/>
      <c r="M17" s="69"/>
      <c r="N17" s="70"/>
    </row>
    <row r="18" spans="1:14" x14ac:dyDescent="0.25">
      <c r="A18" s="22" t="s">
        <v>185</v>
      </c>
      <c r="B18" s="57"/>
      <c r="C18" s="10">
        <v>360</v>
      </c>
      <c r="D18" s="10">
        <v>360</v>
      </c>
      <c r="E18" s="10">
        <v>360</v>
      </c>
      <c r="F18" s="10">
        <v>360</v>
      </c>
      <c r="G18" s="10">
        <v>360</v>
      </c>
      <c r="H18" s="10">
        <v>360</v>
      </c>
      <c r="I18" s="10">
        <v>360</v>
      </c>
      <c r="J18" s="10">
        <f>+I18*(100%+J17)</f>
        <v>378</v>
      </c>
      <c r="K18" s="10">
        <f t="shared" ref="K18:N18" si="8">+J18*(100%+K17)</f>
        <v>378</v>
      </c>
      <c r="L18" s="10">
        <f t="shared" si="8"/>
        <v>378</v>
      </c>
      <c r="M18" s="10">
        <f t="shared" si="8"/>
        <v>378</v>
      </c>
      <c r="N18" s="10">
        <f t="shared" si="8"/>
        <v>378</v>
      </c>
    </row>
    <row r="19" spans="1:14" x14ac:dyDescent="0.25">
      <c r="A19" s="22" t="s">
        <v>186</v>
      </c>
      <c r="B19" s="57"/>
      <c r="C19" s="10">
        <v>10</v>
      </c>
      <c r="D19" s="10">
        <v>10</v>
      </c>
      <c r="E19" s="10">
        <v>10</v>
      </c>
      <c r="F19" s="10">
        <v>10</v>
      </c>
      <c r="G19" s="10">
        <v>10</v>
      </c>
      <c r="H19" s="10">
        <v>10</v>
      </c>
      <c r="I19" s="10">
        <v>10</v>
      </c>
      <c r="J19" s="10">
        <v>10</v>
      </c>
      <c r="K19" s="10">
        <v>10</v>
      </c>
      <c r="L19" s="10">
        <v>10</v>
      </c>
      <c r="M19" s="10">
        <v>10</v>
      </c>
      <c r="N19" s="24">
        <v>10</v>
      </c>
    </row>
    <row r="20" spans="1:14" x14ac:dyDescent="0.25">
      <c r="A20" s="22" t="s">
        <v>187</v>
      </c>
      <c r="B20" s="57">
        <f t="shared" si="0"/>
        <v>50</v>
      </c>
      <c r="C20" s="10">
        <v>5</v>
      </c>
      <c r="D20" s="10">
        <v>4</v>
      </c>
      <c r="E20" s="10">
        <v>5</v>
      </c>
      <c r="F20" s="10">
        <v>4</v>
      </c>
      <c r="G20" s="10">
        <v>4</v>
      </c>
      <c r="H20" s="10">
        <v>4</v>
      </c>
      <c r="I20" s="10">
        <v>4</v>
      </c>
      <c r="J20" s="10">
        <v>4</v>
      </c>
      <c r="K20" s="10">
        <v>4</v>
      </c>
      <c r="L20" s="10">
        <v>4</v>
      </c>
      <c r="M20" s="10">
        <v>4</v>
      </c>
      <c r="N20" s="24">
        <v>4</v>
      </c>
    </row>
    <row r="21" spans="1:14" ht="15.75" thickBot="1" x14ac:dyDescent="0.3">
      <c r="A21" s="49" t="s">
        <v>188</v>
      </c>
      <c r="B21" s="63">
        <f t="shared" si="0"/>
        <v>183600</v>
      </c>
      <c r="C21" s="71">
        <f>+C18*C19*C20</f>
        <v>18000</v>
      </c>
      <c r="D21" s="71">
        <f t="shared" ref="D21:H21" si="9">+D18*D19*D20</f>
        <v>14400</v>
      </c>
      <c r="E21" s="71">
        <f t="shared" si="9"/>
        <v>18000</v>
      </c>
      <c r="F21" s="71">
        <f t="shared" si="9"/>
        <v>14400</v>
      </c>
      <c r="G21" s="71">
        <f t="shared" si="9"/>
        <v>14400</v>
      </c>
      <c r="H21" s="71">
        <f t="shared" si="9"/>
        <v>14400</v>
      </c>
      <c r="I21" s="71">
        <f t="shared" ref="I21" si="10">+I18*I19*I20</f>
        <v>14400</v>
      </c>
      <c r="J21" s="71">
        <f t="shared" ref="J21" si="11">+J18*J19*J20</f>
        <v>15120</v>
      </c>
      <c r="K21" s="71">
        <f t="shared" ref="K21" si="12">+K18*K19*K20</f>
        <v>15120</v>
      </c>
      <c r="L21" s="71">
        <f t="shared" ref="L21" si="13">+L18*L19*L20</f>
        <v>15120</v>
      </c>
      <c r="M21" s="71">
        <f t="shared" ref="M21" si="14">+M18*M19*M20</f>
        <v>15120</v>
      </c>
      <c r="N21" s="72">
        <f t="shared" ref="N21" si="15">+N18*N19*N20</f>
        <v>15120</v>
      </c>
    </row>
    <row r="22" spans="1:14" x14ac:dyDescent="0.25">
      <c r="B22" s="84"/>
      <c r="C22" s="5"/>
      <c r="D22" s="5"/>
      <c r="E22" s="5"/>
      <c r="F22" s="5"/>
      <c r="G22" s="5"/>
      <c r="H22" s="5"/>
    </row>
    <row r="23" spans="1:14" x14ac:dyDescent="0.25">
      <c r="A23" s="82" t="s">
        <v>189</v>
      </c>
      <c r="B23" s="83">
        <f t="shared" ref="B23:M23" si="16">B21-B15</f>
        <v>-2836</v>
      </c>
      <c r="C23" s="83">
        <f t="shared" si="16"/>
        <v>4885.0000000000018</v>
      </c>
      <c r="D23" s="83">
        <f t="shared" si="16"/>
        <v>1501.0000000000018</v>
      </c>
      <c r="E23" s="83">
        <f t="shared" si="16"/>
        <v>3885.0000000000018</v>
      </c>
      <c r="F23" s="83">
        <f t="shared" si="16"/>
        <v>1501.0000000000018</v>
      </c>
      <c r="G23" s="83">
        <f t="shared" si="16"/>
        <v>1501.0000000000018</v>
      </c>
      <c r="H23" s="83">
        <f t="shared" si="16"/>
        <v>1501.0000000000018</v>
      </c>
      <c r="I23" s="83">
        <f t="shared" si="16"/>
        <v>1501.0000000000018</v>
      </c>
      <c r="J23" s="83">
        <f t="shared" si="16"/>
        <v>2177.8000000000011</v>
      </c>
      <c r="K23" s="83">
        <f t="shared" si="16"/>
        <v>1177.8000000000011</v>
      </c>
      <c r="L23" s="83">
        <f t="shared" si="16"/>
        <v>2177.8000000000011</v>
      </c>
      <c r="M23" s="83">
        <f t="shared" si="16"/>
        <v>-26822.199999999997</v>
      </c>
      <c r="N23" s="83">
        <f>N21-N15</f>
        <v>2177.8000000000011</v>
      </c>
    </row>
    <row r="24" spans="1:14" x14ac:dyDescent="0.25">
      <c r="C24" s="5"/>
      <c r="D24" s="5"/>
      <c r="E24" s="5"/>
      <c r="F24" s="5"/>
      <c r="G24" s="5"/>
      <c r="H24" s="5"/>
    </row>
    <row r="25" spans="1:14" x14ac:dyDescent="0.25">
      <c r="C25" s="5"/>
      <c r="D25" s="5"/>
      <c r="E25" s="5"/>
      <c r="F25" s="5"/>
      <c r="G25" s="5"/>
      <c r="H25" s="5"/>
    </row>
    <row r="26" spans="1:14" x14ac:dyDescent="0.25">
      <c r="C26" s="5"/>
      <c r="D26" s="5"/>
      <c r="E26" s="5"/>
      <c r="F26" s="5"/>
      <c r="G26" s="5"/>
      <c r="H26" s="5"/>
    </row>
    <row r="27" spans="1:14" x14ac:dyDescent="0.25">
      <c r="C27" s="5"/>
      <c r="D27" s="5"/>
      <c r="E27" s="5"/>
      <c r="F27" s="5"/>
      <c r="G27" s="5"/>
      <c r="H27" s="5"/>
    </row>
    <row r="28" spans="1:14" x14ac:dyDescent="0.25">
      <c r="C28" s="5"/>
      <c r="D28" s="5"/>
      <c r="E28" s="5"/>
      <c r="F28" s="5"/>
      <c r="G28" s="5"/>
      <c r="H28" s="5"/>
    </row>
    <row r="29" spans="1:14" x14ac:dyDescent="0.25">
      <c r="C29" s="5"/>
      <c r="D29" s="5"/>
      <c r="E29" s="5"/>
      <c r="F29" s="5"/>
      <c r="G29" s="5"/>
      <c r="H29" s="5"/>
    </row>
    <row r="30" spans="1:14" x14ac:dyDescent="0.25">
      <c r="C30" s="5"/>
      <c r="D30" s="5"/>
      <c r="E30" s="5"/>
      <c r="F30" s="5"/>
      <c r="G30" s="5"/>
      <c r="H30" s="5"/>
    </row>
    <row r="31" spans="1:14" x14ac:dyDescent="0.25">
      <c r="C31" s="5"/>
      <c r="D31" s="5"/>
      <c r="E31" s="5"/>
      <c r="F31" s="5"/>
      <c r="G31" s="5"/>
      <c r="H31" s="5"/>
    </row>
    <row r="32" spans="1:14" x14ac:dyDescent="0.25">
      <c r="C32" s="5"/>
      <c r="D32" s="5"/>
      <c r="E32" s="5"/>
      <c r="F32" s="5"/>
      <c r="G32" s="5"/>
      <c r="H32" s="5"/>
    </row>
    <row r="33" spans="3:8" x14ac:dyDescent="0.25">
      <c r="C33" s="5"/>
      <c r="D33" s="5"/>
      <c r="E33" s="5"/>
      <c r="F33" s="5"/>
      <c r="G33" s="5"/>
      <c r="H33" s="5"/>
    </row>
    <row r="34" spans="3:8" x14ac:dyDescent="0.25">
      <c r="C34" s="5"/>
      <c r="D34" s="5"/>
      <c r="E34" s="5"/>
      <c r="F34" s="5"/>
      <c r="G34" s="5"/>
      <c r="H34" s="5"/>
    </row>
    <row r="35" spans="3:8" x14ac:dyDescent="0.25">
      <c r="C35" s="5"/>
      <c r="D35" s="5"/>
      <c r="E35" s="5"/>
      <c r="F35" s="5"/>
      <c r="G35" s="5"/>
      <c r="H35" s="5"/>
    </row>
    <row r="36" spans="3:8" x14ac:dyDescent="0.25">
      <c r="C36" s="5"/>
      <c r="D36" s="5"/>
      <c r="E36" s="5"/>
      <c r="F36" s="5"/>
      <c r="G36" s="5"/>
      <c r="H36" s="5"/>
    </row>
    <row r="37" spans="3:8" x14ac:dyDescent="0.25">
      <c r="C37" s="5"/>
      <c r="D37" s="5"/>
      <c r="E37" s="5"/>
      <c r="F37" s="5"/>
      <c r="G37" s="5"/>
      <c r="H37" s="5"/>
    </row>
    <row r="38" spans="3:8" x14ac:dyDescent="0.25">
      <c r="C38" s="5"/>
      <c r="D38" s="5"/>
      <c r="E38" s="5"/>
      <c r="F38" s="5"/>
      <c r="G38" s="5"/>
      <c r="H38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2BC49-416A-4951-8A22-845E588BE419}">
  <dimension ref="A1:N39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9" sqref="B9"/>
    </sheetView>
  </sheetViews>
  <sheetFormatPr defaultRowHeight="15" x14ac:dyDescent="0.25"/>
  <cols>
    <col min="1" max="1" width="19.7109375" customWidth="1"/>
    <col min="2" max="2" width="9.5703125" customWidth="1"/>
    <col min="4" max="8" width="9" customWidth="1"/>
  </cols>
  <sheetData>
    <row r="1" spans="1:14" x14ac:dyDescent="0.25">
      <c r="A1" s="59" t="s">
        <v>181</v>
      </c>
      <c r="B1" s="60" t="s">
        <v>190</v>
      </c>
      <c r="C1" s="61">
        <v>46569</v>
      </c>
      <c r="D1" s="61">
        <v>46600</v>
      </c>
      <c r="E1" s="61">
        <v>46631</v>
      </c>
      <c r="F1" s="61">
        <v>46661</v>
      </c>
      <c r="G1" s="61">
        <v>46692</v>
      </c>
      <c r="H1" s="61">
        <v>46722</v>
      </c>
      <c r="I1" s="61">
        <v>46753</v>
      </c>
      <c r="J1" s="61">
        <v>46784</v>
      </c>
      <c r="K1" s="61">
        <v>46813</v>
      </c>
      <c r="L1" s="61">
        <v>46844</v>
      </c>
      <c r="M1" s="61">
        <v>46874</v>
      </c>
      <c r="N1" s="61">
        <v>46905</v>
      </c>
    </row>
    <row r="2" spans="1:14" x14ac:dyDescent="0.25">
      <c r="A2" s="22" t="s">
        <v>82</v>
      </c>
      <c r="B2" s="57">
        <f t="shared" ref="B2:B23" si="0">SUM(C2:N2)</f>
        <v>115919.99999999999</v>
      </c>
      <c r="C2" s="10">
        <f>+((2760000*70%)*6%)/12</f>
        <v>9659.9999999999982</v>
      </c>
      <c r="D2" s="10">
        <f>+((2760000*70%)*6%)/12</f>
        <v>9659.9999999999982</v>
      </c>
      <c r="E2" s="10">
        <f t="shared" ref="E2:N2" si="1">+((2760000*70%)*6%)/12</f>
        <v>9659.9999999999982</v>
      </c>
      <c r="F2" s="10">
        <f t="shared" si="1"/>
        <v>9659.9999999999982</v>
      </c>
      <c r="G2" s="10">
        <f t="shared" si="1"/>
        <v>9659.9999999999982</v>
      </c>
      <c r="H2" s="10">
        <f t="shared" si="1"/>
        <v>9659.9999999999982</v>
      </c>
      <c r="I2" s="10">
        <f t="shared" si="1"/>
        <v>9659.9999999999982</v>
      </c>
      <c r="J2" s="10">
        <f t="shared" si="1"/>
        <v>9659.9999999999982</v>
      </c>
      <c r="K2" s="10">
        <f t="shared" si="1"/>
        <v>9659.9999999999982</v>
      </c>
      <c r="L2" s="10">
        <f t="shared" si="1"/>
        <v>9659.9999999999982</v>
      </c>
      <c r="M2" s="10">
        <f t="shared" si="1"/>
        <v>9659.9999999999982</v>
      </c>
      <c r="N2" s="10">
        <f t="shared" si="1"/>
        <v>9659.9999999999982</v>
      </c>
    </row>
    <row r="3" spans="1:14" x14ac:dyDescent="0.25">
      <c r="A3" s="22" t="s">
        <v>24</v>
      </c>
      <c r="B3" s="57">
        <f t="shared" si="0"/>
        <v>12780</v>
      </c>
      <c r="C3" s="8">
        <v>1065</v>
      </c>
      <c r="D3" s="8">
        <v>1065</v>
      </c>
      <c r="E3" s="8">
        <v>1065</v>
      </c>
      <c r="F3" s="8">
        <v>1065</v>
      </c>
      <c r="G3" s="8">
        <v>1065</v>
      </c>
      <c r="H3" s="8">
        <v>1065</v>
      </c>
      <c r="I3" s="8">
        <v>1065</v>
      </c>
      <c r="J3" s="8">
        <v>1065</v>
      </c>
      <c r="K3" s="8">
        <v>1065</v>
      </c>
      <c r="L3" s="8">
        <v>1065</v>
      </c>
      <c r="M3" s="8">
        <v>1065</v>
      </c>
      <c r="N3" s="8">
        <v>1065</v>
      </c>
    </row>
    <row r="4" spans="1:14" x14ac:dyDescent="0.25">
      <c r="A4" s="22" t="s">
        <v>25</v>
      </c>
      <c r="B4" s="57">
        <f t="shared" si="0"/>
        <v>7800</v>
      </c>
      <c r="C4" s="10">
        <v>650</v>
      </c>
      <c r="D4" s="10">
        <v>650</v>
      </c>
      <c r="E4" s="10">
        <v>650</v>
      </c>
      <c r="F4" s="10">
        <v>650</v>
      </c>
      <c r="G4" s="10">
        <v>650</v>
      </c>
      <c r="H4" s="10">
        <v>650</v>
      </c>
      <c r="I4" s="10">
        <v>650</v>
      </c>
      <c r="J4" s="10">
        <v>650</v>
      </c>
      <c r="K4" s="10">
        <v>650</v>
      </c>
      <c r="L4" s="10">
        <v>650</v>
      </c>
      <c r="M4" s="10">
        <v>650</v>
      </c>
      <c r="N4" s="10">
        <v>650</v>
      </c>
    </row>
    <row r="5" spans="1:14" x14ac:dyDescent="0.25">
      <c r="A5" s="22" t="s">
        <v>83</v>
      </c>
      <c r="B5" s="57">
        <f t="shared" si="0"/>
        <v>3600</v>
      </c>
      <c r="C5" s="10">
        <v>300</v>
      </c>
      <c r="D5" s="10">
        <v>300</v>
      </c>
      <c r="E5" s="10">
        <v>300</v>
      </c>
      <c r="F5" s="10">
        <v>300</v>
      </c>
      <c r="G5" s="10">
        <v>300</v>
      </c>
      <c r="H5" s="10">
        <v>300</v>
      </c>
      <c r="I5" s="10">
        <v>300</v>
      </c>
      <c r="J5" s="10">
        <v>300</v>
      </c>
      <c r="K5" s="10">
        <v>300</v>
      </c>
      <c r="L5" s="10">
        <v>300</v>
      </c>
      <c r="M5" s="10">
        <v>300</v>
      </c>
      <c r="N5" s="24">
        <v>300</v>
      </c>
    </row>
    <row r="6" spans="1:14" x14ac:dyDescent="0.25">
      <c r="A6" s="22" t="s">
        <v>26</v>
      </c>
      <c r="B6" s="57">
        <f t="shared" si="0"/>
        <v>6180</v>
      </c>
      <c r="C6" s="10">
        <f>500*1.03</f>
        <v>515</v>
      </c>
      <c r="D6" s="10">
        <f t="shared" ref="D6:N6" si="2">500*1.03</f>
        <v>515</v>
      </c>
      <c r="E6" s="10">
        <f t="shared" si="2"/>
        <v>515</v>
      </c>
      <c r="F6" s="10">
        <f t="shared" si="2"/>
        <v>515</v>
      </c>
      <c r="G6" s="10">
        <f t="shared" si="2"/>
        <v>515</v>
      </c>
      <c r="H6" s="10">
        <f t="shared" si="2"/>
        <v>515</v>
      </c>
      <c r="I6" s="10">
        <f t="shared" si="2"/>
        <v>515</v>
      </c>
      <c r="J6" s="10">
        <f t="shared" si="2"/>
        <v>515</v>
      </c>
      <c r="K6" s="10">
        <f t="shared" si="2"/>
        <v>515</v>
      </c>
      <c r="L6" s="10">
        <f t="shared" si="2"/>
        <v>515</v>
      </c>
      <c r="M6" s="10">
        <f t="shared" si="2"/>
        <v>515</v>
      </c>
      <c r="N6" s="10">
        <f t="shared" si="2"/>
        <v>515</v>
      </c>
    </row>
    <row r="7" spans="1:14" x14ac:dyDescent="0.25">
      <c r="A7" s="22" t="s">
        <v>84</v>
      </c>
      <c r="B7" s="57">
        <f t="shared" si="0"/>
        <v>11768.399999999996</v>
      </c>
      <c r="C7" s="10">
        <f>+C21*6%</f>
        <v>1134</v>
      </c>
      <c r="D7" s="10">
        <f t="shared" ref="D7:H7" si="3">+D21*6%</f>
        <v>907.19999999999993</v>
      </c>
      <c r="E7" s="10">
        <f t="shared" si="3"/>
        <v>1158</v>
      </c>
      <c r="F7" s="10">
        <f t="shared" si="3"/>
        <v>926.4</v>
      </c>
      <c r="G7" s="10">
        <f t="shared" si="3"/>
        <v>926.4</v>
      </c>
      <c r="H7" s="10">
        <f t="shared" si="3"/>
        <v>926.4</v>
      </c>
      <c r="I7" s="10">
        <f>+I21*6%</f>
        <v>926.4</v>
      </c>
      <c r="J7" s="10">
        <f t="shared" ref="J7:N7" si="4">+J21*6%</f>
        <v>972.71999999999991</v>
      </c>
      <c r="K7" s="10">
        <f t="shared" si="4"/>
        <v>972.71999999999991</v>
      </c>
      <c r="L7" s="10">
        <f t="shared" si="4"/>
        <v>972.71999999999991</v>
      </c>
      <c r="M7" s="10">
        <f t="shared" si="4"/>
        <v>972.71999999999991</v>
      </c>
      <c r="N7" s="24">
        <f t="shared" si="4"/>
        <v>972.71999999999991</v>
      </c>
    </row>
    <row r="8" spans="1:14" x14ac:dyDescent="0.25">
      <c r="A8" s="22" t="s">
        <v>28</v>
      </c>
      <c r="B8" s="57">
        <f>SUM(C8:N8)</f>
        <v>2000</v>
      </c>
      <c r="C8" s="10"/>
      <c r="D8" s="10"/>
      <c r="E8" s="10">
        <v>1000</v>
      </c>
      <c r="F8" s="10"/>
      <c r="G8" s="10"/>
      <c r="H8" s="10"/>
      <c r="I8" s="8"/>
      <c r="J8" s="8"/>
      <c r="K8" s="8">
        <v>1000</v>
      </c>
      <c r="L8" s="8"/>
      <c r="M8" s="8"/>
      <c r="N8" s="25"/>
    </row>
    <row r="9" spans="1:14" x14ac:dyDescent="0.25">
      <c r="A9" s="22" t="s">
        <v>29</v>
      </c>
      <c r="B9" s="57">
        <f>SUM(C9:N9)</f>
        <v>29000</v>
      </c>
      <c r="C9" s="10"/>
      <c r="D9" s="10"/>
      <c r="E9" s="10"/>
      <c r="F9" s="10"/>
      <c r="G9" s="10"/>
      <c r="H9" s="10"/>
      <c r="I9" s="8"/>
      <c r="J9" s="8"/>
      <c r="K9" s="8"/>
      <c r="L9" s="8"/>
      <c r="M9" s="8">
        <v>29000</v>
      </c>
      <c r="N9" s="25"/>
    </row>
    <row r="10" spans="1:14" x14ac:dyDescent="0.25">
      <c r="A10" s="22" t="s">
        <v>30</v>
      </c>
      <c r="B10" s="57">
        <f t="shared" si="0"/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24"/>
    </row>
    <row r="11" spans="1:14" x14ac:dyDescent="0.25">
      <c r="A11" s="22" t="s">
        <v>31</v>
      </c>
      <c r="B11" s="57">
        <f t="shared" si="0"/>
        <v>0</v>
      </c>
      <c r="C11" s="10"/>
      <c r="D11" s="10"/>
      <c r="E11" s="10"/>
      <c r="F11" s="10"/>
      <c r="G11" s="10"/>
      <c r="H11" s="10"/>
      <c r="I11" s="8"/>
      <c r="J11" s="8"/>
      <c r="K11" s="8"/>
      <c r="L11" s="8"/>
      <c r="M11" s="8"/>
      <c r="N11" s="25"/>
    </row>
    <row r="12" spans="1:14" x14ac:dyDescent="0.25">
      <c r="A12" s="22"/>
      <c r="B12" s="57">
        <f t="shared" si="0"/>
        <v>0</v>
      </c>
      <c r="C12" s="10"/>
      <c r="D12" s="10"/>
      <c r="E12" s="10"/>
      <c r="F12" s="10"/>
      <c r="G12" s="10"/>
      <c r="H12" s="10"/>
      <c r="I12" s="8"/>
      <c r="J12" s="8"/>
      <c r="K12" s="8"/>
      <c r="L12" s="8"/>
      <c r="M12" s="8"/>
      <c r="N12" s="25"/>
    </row>
    <row r="13" spans="1:14" x14ac:dyDescent="0.25">
      <c r="A13" s="22"/>
      <c r="B13" s="57"/>
      <c r="C13" s="10"/>
      <c r="D13" s="10"/>
      <c r="E13" s="10"/>
      <c r="F13" s="10"/>
      <c r="G13" s="10"/>
      <c r="H13" s="10"/>
      <c r="I13" s="8"/>
      <c r="J13" s="8"/>
      <c r="K13" s="8"/>
      <c r="L13" s="8"/>
      <c r="M13" s="8"/>
      <c r="N13" s="25"/>
    </row>
    <row r="14" spans="1:14" x14ac:dyDescent="0.25">
      <c r="A14" s="22"/>
      <c r="B14" s="57">
        <f t="shared" si="0"/>
        <v>0</v>
      </c>
      <c r="C14" s="10"/>
      <c r="D14" s="10"/>
      <c r="E14" s="10"/>
      <c r="F14" s="10"/>
      <c r="G14" s="10"/>
      <c r="H14" s="10"/>
      <c r="I14" s="8"/>
      <c r="J14" s="8"/>
      <c r="K14" s="8"/>
      <c r="L14" s="8"/>
      <c r="M14" s="8"/>
      <c r="N14" s="25"/>
    </row>
    <row r="15" spans="1:14" ht="15.75" thickBot="1" x14ac:dyDescent="0.3">
      <c r="A15" s="31" t="s">
        <v>89</v>
      </c>
      <c r="B15" s="65">
        <f t="shared" ref="B15:M15" si="5">SUM(B2:B14)</f>
        <v>189048.4</v>
      </c>
      <c r="C15" s="65">
        <f t="shared" si="5"/>
        <v>13323.999999999998</v>
      </c>
      <c r="D15" s="65">
        <f t="shared" si="5"/>
        <v>13097.199999999999</v>
      </c>
      <c r="E15" s="65">
        <f t="shared" si="5"/>
        <v>14347.999999999998</v>
      </c>
      <c r="F15" s="65">
        <f t="shared" si="5"/>
        <v>13116.399999999998</v>
      </c>
      <c r="G15" s="65">
        <f t="shared" si="5"/>
        <v>13116.399999999998</v>
      </c>
      <c r="H15" s="65">
        <f t="shared" si="5"/>
        <v>13116.399999999998</v>
      </c>
      <c r="I15" s="65">
        <f t="shared" si="5"/>
        <v>13116.399999999998</v>
      </c>
      <c r="J15" s="65">
        <f t="shared" si="5"/>
        <v>13162.719999999998</v>
      </c>
      <c r="K15" s="65">
        <f t="shared" si="5"/>
        <v>14162.719999999998</v>
      </c>
      <c r="L15" s="65">
        <f t="shared" si="5"/>
        <v>13162.719999999998</v>
      </c>
      <c r="M15" s="65">
        <f t="shared" si="5"/>
        <v>42162.720000000001</v>
      </c>
      <c r="N15" s="65">
        <f>SUM(N2:N14)</f>
        <v>13162.719999999998</v>
      </c>
    </row>
    <row r="16" spans="1:14" ht="15.75" thickBot="1" x14ac:dyDescent="0.3">
      <c r="B16" s="56">
        <f t="shared" si="0"/>
        <v>0</v>
      </c>
      <c r="C16" s="5"/>
      <c r="D16" s="5"/>
      <c r="E16" s="5"/>
      <c r="F16" s="5"/>
      <c r="G16" s="5"/>
      <c r="H16" s="5"/>
    </row>
    <row r="17" spans="1:14" x14ac:dyDescent="0.25">
      <c r="A17" s="66" t="s">
        <v>184</v>
      </c>
      <c r="B17" s="67">
        <f t="shared" si="0"/>
        <v>0.05</v>
      </c>
      <c r="C17" s="68"/>
      <c r="D17" s="68"/>
      <c r="E17" s="68"/>
      <c r="F17" s="68"/>
      <c r="G17" s="68"/>
      <c r="H17" s="68"/>
      <c r="I17" s="69"/>
      <c r="J17" s="76">
        <v>0.05</v>
      </c>
      <c r="K17" s="69"/>
      <c r="L17" s="69"/>
      <c r="M17" s="69"/>
      <c r="N17" s="70"/>
    </row>
    <row r="18" spans="1:14" x14ac:dyDescent="0.25">
      <c r="A18" s="22" t="s">
        <v>185</v>
      </c>
      <c r="B18" s="57"/>
      <c r="C18" s="10">
        <f>'Cash Flow FY2'!N18</f>
        <v>378</v>
      </c>
      <c r="D18" s="10">
        <v>378</v>
      </c>
      <c r="E18" s="10">
        <v>386</v>
      </c>
      <c r="F18" s="10">
        <v>386</v>
      </c>
      <c r="G18" s="10">
        <v>386</v>
      </c>
      <c r="H18" s="10">
        <v>386</v>
      </c>
      <c r="I18" s="10">
        <v>386</v>
      </c>
      <c r="J18" s="10">
        <f>+I18*(100%+J17)</f>
        <v>405.3</v>
      </c>
      <c r="K18" s="10">
        <f t="shared" ref="K18:N18" si="6">+J18*(100%+K17)</f>
        <v>405.3</v>
      </c>
      <c r="L18" s="10">
        <f t="shared" si="6"/>
        <v>405.3</v>
      </c>
      <c r="M18" s="10">
        <f t="shared" si="6"/>
        <v>405.3</v>
      </c>
      <c r="N18" s="10">
        <f t="shared" si="6"/>
        <v>405.3</v>
      </c>
    </row>
    <row r="19" spans="1:14" x14ac:dyDescent="0.25">
      <c r="A19" s="22" t="s">
        <v>186</v>
      </c>
      <c r="B19" s="57"/>
      <c r="C19" s="10">
        <v>10</v>
      </c>
      <c r="D19" s="10">
        <v>10</v>
      </c>
      <c r="E19" s="10">
        <v>10</v>
      </c>
      <c r="F19" s="10">
        <v>10</v>
      </c>
      <c r="G19" s="10">
        <v>10</v>
      </c>
      <c r="H19" s="10">
        <v>10</v>
      </c>
      <c r="I19" s="10">
        <v>10</v>
      </c>
      <c r="J19" s="10">
        <v>10</v>
      </c>
      <c r="K19" s="10">
        <v>10</v>
      </c>
      <c r="L19" s="10">
        <v>10</v>
      </c>
      <c r="M19" s="10">
        <v>10</v>
      </c>
      <c r="N19" s="24">
        <v>10</v>
      </c>
    </row>
    <row r="20" spans="1:14" x14ac:dyDescent="0.25">
      <c r="A20" s="22" t="s">
        <v>187</v>
      </c>
      <c r="B20" s="57">
        <f t="shared" si="0"/>
        <v>50</v>
      </c>
      <c r="C20" s="10">
        <v>5</v>
      </c>
      <c r="D20" s="10">
        <v>4</v>
      </c>
      <c r="E20" s="10">
        <v>5</v>
      </c>
      <c r="F20" s="10">
        <v>4</v>
      </c>
      <c r="G20" s="10">
        <v>4</v>
      </c>
      <c r="H20" s="10">
        <v>4</v>
      </c>
      <c r="I20" s="10">
        <v>4</v>
      </c>
      <c r="J20" s="10">
        <v>4</v>
      </c>
      <c r="K20" s="10">
        <v>4</v>
      </c>
      <c r="L20" s="10">
        <v>4</v>
      </c>
      <c r="M20" s="10">
        <v>4</v>
      </c>
      <c r="N20" s="24">
        <v>4</v>
      </c>
    </row>
    <row r="21" spans="1:14" ht="15.75" thickBot="1" x14ac:dyDescent="0.3">
      <c r="A21" s="49" t="s">
        <v>188</v>
      </c>
      <c r="B21" s="63">
        <f t="shared" si="0"/>
        <v>196140</v>
      </c>
      <c r="C21" s="71">
        <f>+C18*C19*C20</f>
        <v>18900</v>
      </c>
      <c r="D21" s="71">
        <f t="shared" ref="D21:N21" si="7">+D18*D19*D20</f>
        <v>15120</v>
      </c>
      <c r="E21" s="71">
        <f t="shared" si="7"/>
        <v>19300</v>
      </c>
      <c r="F21" s="71">
        <f t="shared" si="7"/>
        <v>15440</v>
      </c>
      <c r="G21" s="71">
        <f t="shared" si="7"/>
        <v>15440</v>
      </c>
      <c r="H21" s="71">
        <f t="shared" si="7"/>
        <v>15440</v>
      </c>
      <c r="I21" s="71">
        <f t="shared" si="7"/>
        <v>15440</v>
      </c>
      <c r="J21" s="71">
        <f t="shared" si="7"/>
        <v>16212</v>
      </c>
      <c r="K21" s="71">
        <f t="shared" si="7"/>
        <v>16212</v>
      </c>
      <c r="L21" s="71">
        <f t="shared" si="7"/>
        <v>16212</v>
      </c>
      <c r="M21" s="71">
        <f t="shared" si="7"/>
        <v>16212</v>
      </c>
      <c r="N21" s="72">
        <f t="shared" si="7"/>
        <v>16212</v>
      </c>
    </row>
    <row r="22" spans="1:14" x14ac:dyDescent="0.25">
      <c r="B22" s="84">
        <f t="shared" si="0"/>
        <v>0</v>
      </c>
      <c r="C22" s="5"/>
      <c r="D22" s="5"/>
      <c r="E22" s="5"/>
      <c r="F22" s="5"/>
      <c r="G22" s="5"/>
      <c r="H22" s="5"/>
    </row>
    <row r="23" spans="1:14" ht="15.75" thickBot="1" x14ac:dyDescent="0.3">
      <c r="B23" s="84">
        <f t="shared" si="0"/>
        <v>0</v>
      </c>
      <c r="C23" s="5"/>
      <c r="D23" s="5"/>
      <c r="E23" s="5"/>
      <c r="F23" s="5"/>
      <c r="G23" s="5"/>
      <c r="H23" s="5"/>
    </row>
    <row r="24" spans="1:14" ht="15.75" thickBot="1" x14ac:dyDescent="0.3">
      <c r="A24" s="85" t="s">
        <v>189</v>
      </c>
      <c r="B24" s="86">
        <f>B21-B15</f>
        <v>7091.6000000000058</v>
      </c>
      <c r="C24" s="86">
        <f t="shared" ref="C24:N24" si="8">C21-C15</f>
        <v>5576.0000000000018</v>
      </c>
      <c r="D24" s="86">
        <f t="shared" si="8"/>
        <v>2022.8000000000011</v>
      </c>
      <c r="E24" s="86">
        <f t="shared" si="8"/>
        <v>4952.0000000000018</v>
      </c>
      <c r="F24" s="86">
        <f t="shared" si="8"/>
        <v>2323.6000000000022</v>
      </c>
      <c r="G24" s="86">
        <f t="shared" si="8"/>
        <v>2323.6000000000022</v>
      </c>
      <c r="H24" s="86">
        <f t="shared" si="8"/>
        <v>2323.6000000000022</v>
      </c>
      <c r="I24" s="86">
        <f t="shared" si="8"/>
        <v>2323.6000000000022</v>
      </c>
      <c r="J24" s="86">
        <f t="shared" si="8"/>
        <v>3049.2800000000025</v>
      </c>
      <c r="K24" s="86">
        <f t="shared" si="8"/>
        <v>2049.2800000000025</v>
      </c>
      <c r="L24" s="86">
        <f t="shared" si="8"/>
        <v>3049.2800000000025</v>
      </c>
      <c r="M24" s="86">
        <f t="shared" si="8"/>
        <v>-25950.720000000001</v>
      </c>
      <c r="N24" s="87">
        <f t="shared" si="8"/>
        <v>3049.2800000000025</v>
      </c>
    </row>
    <row r="25" spans="1:14" x14ac:dyDescent="0.25">
      <c r="C25" s="5"/>
      <c r="D25" s="5"/>
      <c r="E25" s="5"/>
      <c r="F25" s="5"/>
      <c r="G25" s="5"/>
      <c r="H25" s="5"/>
    </row>
    <row r="26" spans="1:14" x14ac:dyDescent="0.25">
      <c r="C26" s="5"/>
      <c r="D26" s="5"/>
      <c r="E26" s="5"/>
      <c r="F26" s="5"/>
      <c r="G26" s="5"/>
      <c r="H26" s="5"/>
    </row>
    <row r="27" spans="1:14" x14ac:dyDescent="0.25">
      <c r="C27" s="5"/>
      <c r="D27" s="5"/>
      <c r="E27" s="5"/>
      <c r="F27" s="5"/>
      <c r="G27" s="5"/>
      <c r="H27" s="5"/>
    </row>
    <row r="28" spans="1:14" x14ac:dyDescent="0.25">
      <c r="C28" s="5"/>
      <c r="D28" s="5"/>
      <c r="E28" s="5"/>
      <c r="F28" s="5"/>
      <c r="G28" s="5"/>
      <c r="H28" s="5"/>
    </row>
    <row r="29" spans="1:14" x14ac:dyDescent="0.25">
      <c r="C29" s="5"/>
      <c r="D29" s="5"/>
      <c r="E29" s="5"/>
      <c r="F29" s="5"/>
      <c r="G29" s="5"/>
      <c r="H29" s="5"/>
    </row>
    <row r="30" spans="1:14" x14ac:dyDescent="0.25">
      <c r="C30" s="5"/>
      <c r="D30" s="5"/>
      <c r="E30" s="5"/>
      <c r="F30" s="5"/>
      <c r="G30" s="5"/>
      <c r="H30" s="5"/>
    </row>
    <row r="31" spans="1:14" x14ac:dyDescent="0.25">
      <c r="C31" s="5"/>
      <c r="D31" s="5"/>
      <c r="E31" s="5"/>
      <c r="F31" s="5"/>
      <c r="G31" s="5"/>
      <c r="H31" s="5"/>
    </row>
    <row r="32" spans="1:14" x14ac:dyDescent="0.25">
      <c r="C32" s="5"/>
      <c r="D32" s="5"/>
      <c r="E32" s="5"/>
      <c r="F32" s="5"/>
      <c r="G32" s="5"/>
      <c r="H32" s="5"/>
    </row>
    <row r="33" spans="3:8" x14ac:dyDescent="0.25">
      <c r="C33" s="5"/>
      <c r="D33" s="5"/>
      <c r="E33" s="5"/>
      <c r="F33" s="5"/>
      <c r="G33" s="5"/>
      <c r="H33" s="5"/>
    </row>
    <row r="34" spans="3:8" x14ac:dyDescent="0.25">
      <c r="C34" s="5"/>
      <c r="D34" s="5"/>
      <c r="E34" s="5"/>
      <c r="F34" s="5"/>
      <c r="G34" s="5"/>
      <c r="H34" s="5"/>
    </row>
    <row r="35" spans="3:8" x14ac:dyDescent="0.25">
      <c r="C35" s="5"/>
      <c r="D35" s="5"/>
      <c r="E35" s="5"/>
      <c r="F35" s="5"/>
      <c r="G35" s="5"/>
      <c r="H35" s="5"/>
    </row>
    <row r="36" spans="3:8" x14ac:dyDescent="0.25">
      <c r="C36" s="5"/>
      <c r="D36" s="5"/>
      <c r="E36" s="5"/>
      <c r="F36" s="5"/>
      <c r="G36" s="5"/>
      <c r="H36" s="5"/>
    </row>
    <row r="37" spans="3:8" x14ac:dyDescent="0.25">
      <c r="C37" s="5"/>
      <c r="D37" s="5"/>
      <c r="E37" s="5"/>
      <c r="F37" s="5"/>
      <c r="G37" s="5"/>
      <c r="H37" s="5"/>
    </row>
    <row r="38" spans="3:8" x14ac:dyDescent="0.25">
      <c r="C38" s="5"/>
      <c r="D38" s="5"/>
      <c r="E38" s="5"/>
      <c r="F38" s="5"/>
      <c r="G38" s="5"/>
      <c r="H38" s="5"/>
    </row>
    <row r="39" spans="3:8" x14ac:dyDescent="0.25">
      <c r="C39" s="5"/>
      <c r="D39" s="5"/>
      <c r="E39" s="5"/>
      <c r="F39" s="5"/>
      <c r="G39" s="5"/>
      <c r="H39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DE2DF-F646-44E1-A89F-9D26BAA5E67D}">
  <dimension ref="A1:N39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C2" sqref="C2"/>
    </sheetView>
  </sheetViews>
  <sheetFormatPr defaultRowHeight="15" x14ac:dyDescent="0.25"/>
  <cols>
    <col min="1" max="1" width="19.7109375" customWidth="1"/>
    <col min="2" max="2" width="9.5703125" customWidth="1"/>
    <col min="3" max="3" width="9.7109375" bestFit="1" customWidth="1"/>
    <col min="4" max="8" width="9" customWidth="1"/>
  </cols>
  <sheetData>
    <row r="1" spans="1:14" x14ac:dyDescent="0.25">
      <c r="A1" s="59" t="s">
        <v>181</v>
      </c>
      <c r="B1" s="60" t="s">
        <v>190</v>
      </c>
      <c r="C1" s="61">
        <v>46569</v>
      </c>
      <c r="D1" s="61">
        <v>46600</v>
      </c>
      <c r="E1" s="61">
        <v>46631</v>
      </c>
      <c r="F1" s="61">
        <v>46661</v>
      </c>
      <c r="G1" s="61">
        <v>46692</v>
      </c>
      <c r="H1" s="61">
        <v>46722</v>
      </c>
      <c r="I1" s="61">
        <v>46753</v>
      </c>
      <c r="J1" s="61">
        <v>46784</v>
      </c>
      <c r="K1" s="61">
        <v>46813</v>
      </c>
      <c r="L1" s="61">
        <v>46844</v>
      </c>
      <c r="M1" s="61">
        <v>46874</v>
      </c>
      <c r="N1" s="61">
        <v>46905</v>
      </c>
    </row>
    <row r="2" spans="1:14" x14ac:dyDescent="0.25">
      <c r="A2" s="22" t="s">
        <v>82</v>
      </c>
      <c r="B2" s="57">
        <f t="shared" ref="B2:B23" si="0">SUM(C2:N2)</f>
        <v>115919.99999999999</v>
      </c>
      <c r="C2" s="10">
        <f>+((2760000*70%)*6%)/12</f>
        <v>9659.9999999999982</v>
      </c>
      <c r="D2" s="10">
        <f t="shared" ref="D2:N2" si="1">+((2760000*70%)*6%)/12</f>
        <v>9659.9999999999982</v>
      </c>
      <c r="E2" s="10">
        <f t="shared" si="1"/>
        <v>9659.9999999999982</v>
      </c>
      <c r="F2" s="10">
        <f t="shared" si="1"/>
        <v>9659.9999999999982</v>
      </c>
      <c r="G2" s="10">
        <f t="shared" si="1"/>
        <v>9659.9999999999982</v>
      </c>
      <c r="H2" s="10">
        <f t="shared" si="1"/>
        <v>9659.9999999999982</v>
      </c>
      <c r="I2" s="10">
        <f t="shared" si="1"/>
        <v>9659.9999999999982</v>
      </c>
      <c r="J2" s="10">
        <f t="shared" si="1"/>
        <v>9659.9999999999982</v>
      </c>
      <c r="K2" s="10">
        <f t="shared" si="1"/>
        <v>9659.9999999999982</v>
      </c>
      <c r="L2" s="10">
        <f t="shared" si="1"/>
        <v>9659.9999999999982</v>
      </c>
      <c r="M2" s="10">
        <f t="shared" si="1"/>
        <v>9659.9999999999982</v>
      </c>
      <c r="N2" s="10">
        <f t="shared" si="1"/>
        <v>9659.9999999999982</v>
      </c>
    </row>
    <row r="3" spans="1:14" x14ac:dyDescent="0.25">
      <c r="A3" s="22" t="s">
        <v>24</v>
      </c>
      <c r="B3" s="57">
        <f t="shared" si="0"/>
        <v>13163.400000000003</v>
      </c>
      <c r="C3" s="44">
        <f>1065*1.03</f>
        <v>1096.95</v>
      </c>
      <c r="D3" s="44">
        <f t="shared" ref="D3:N3" si="2">1065*1.03</f>
        <v>1096.95</v>
      </c>
      <c r="E3" s="44">
        <f t="shared" si="2"/>
        <v>1096.95</v>
      </c>
      <c r="F3" s="44">
        <f t="shared" si="2"/>
        <v>1096.95</v>
      </c>
      <c r="G3" s="44">
        <f t="shared" si="2"/>
        <v>1096.95</v>
      </c>
      <c r="H3" s="44">
        <f t="shared" si="2"/>
        <v>1096.95</v>
      </c>
      <c r="I3" s="44">
        <f t="shared" si="2"/>
        <v>1096.95</v>
      </c>
      <c r="J3" s="44">
        <f t="shared" si="2"/>
        <v>1096.95</v>
      </c>
      <c r="K3" s="44">
        <f t="shared" si="2"/>
        <v>1096.95</v>
      </c>
      <c r="L3" s="44">
        <f t="shared" si="2"/>
        <v>1096.95</v>
      </c>
      <c r="M3" s="44">
        <f t="shared" si="2"/>
        <v>1096.95</v>
      </c>
      <c r="N3" s="44">
        <f t="shared" si="2"/>
        <v>1096.95</v>
      </c>
    </row>
    <row r="4" spans="1:14" x14ac:dyDescent="0.25">
      <c r="A4" s="22" t="s">
        <v>25</v>
      </c>
      <c r="B4" s="57">
        <f t="shared" si="0"/>
        <v>8400</v>
      </c>
      <c r="C4" s="10">
        <v>700</v>
      </c>
      <c r="D4" s="10">
        <v>700</v>
      </c>
      <c r="E4" s="10">
        <v>700</v>
      </c>
      <c r="F4" s="10">
        <v>700</v>
      </c>
      <c r="G4" s="10">
        <v>700</v>
      </c>
      <c r="H4" s="10">
        <v>700</v>
      </c>
      <c r="I4" s="10">
        <v>700</v>
      </c>
      <c r="J4" s="10">
        <v>700</v>
      </c>
      <c r="K4" s="10">
        <v>700</v>
      </c>
      <c r="L4" s="10">
        <v>700</v>
      </c>
      <c r="M4" s="10">
        <v>700</v>
      </c>
      <c r="N4" s="10">
        <v>700</v>
      </c>
    </row>
    <row r="5" spans="1:14" x14ac:dyDescent="0.25">
      <c r="A5" s="22" t="s">
        <v>83</v>
      </c>
      <c r="B5" s="57">
        <f t="shared" si="0"/>
        <v>3600</v>
      </c>
      <c r="C5" s="10">
        <v>300</v>
      </c>
      <c r="D5" s="10">
        <v>300</v>
      </c>
      <c r="E5" s="10">
        <v>300</v>
      </c>
      <c r="F5" s="10">
        <v>300</v>
      </c>
      <c r="G5" s="10">
        <v>300</v>
      </c>
      <c r="H5" s="10">
        <v>300</v>
      </c>
      <c r="I5" s="10">
        <v>300</v>
      </c>
      <c r="J5" s="10">
        <v>300</v>
      </c>
      <c r="K5" s="10">
        <v>300</v>
      </c>
      <c r="L5" s="10">
        <v>300</v>
      </c>
      <c r="M5" s="10">
        <v>300</v>
      </c>
      <c r="N5" s="24">
        <v>300</v>
      </c>
    </row>
    <row r="6" spans="1:14" x14ac:dyDescent="0.25">
      <c r="A6" s="22" t="s">
        <v>26</v>
      </c>
      <c r="B6" s="57">
        <f t="shared" si="0"/>
        <v>6180</v>
      </c>
      <c r="C6" s="10">
        <f>500*1.03</f>
        <v>515</v>
      </c>
      <c r="D6" s="10">
        <f t="shared" ref="D6:N6" si="3">500*1.03</f>
        <v>515</v>
      </c>
      <c r="E6" s="10">
        <f t="shared" si="3"/>
        <v>515</v>
      </c>
      <c r="F6" s="10">
        <f t="shared" si="3"/>
        <v>515</v>
      </c>
      <c r="G6" s="10">
        <f t="shared" si="3"/>
        <v>515</v>
      </c>
      <c r="H6" s="10">
        <f t="shared" si="3"/>
        <v>515</v>
      </c>
      <c r="I6" s="10">
        <f t="shared" si="3"/>
        <v>515</v>
      </c>
      <c r="J6" s="10">
        <f t="shared" si="3"/>
        <v>515</v>
      </c>
      <c r="K6" s="10">
        <f t="shared" si="3"/>
        <v>515</v>
      </c>
      <c r="L6" s="10">
        <f t="shared" si="3"/>
        <v>515</v>
      </c>
      <c r="M6" s="10">
        <f t="shared" si="3"/>
        <v>515</v>
      </c>
      <c r="N6" s="10">
        <f t="shared" si="3"/>
        <v>515</v>
      </c>
    </row>
    <row r="7" spans="1:14" x14ac:dyDescent="0.25">
      <c r="A7" s="22" t="s">
        <v>84</v>
      </c>
      <c r="B7" s="57">
        <f t="shared" si="0"/>
        <v>12393.000000000002</v>
      </c>
      <c r="C7" s="10">
        <f>+C21*6%</f>
        <v>1215</v>
      </c>
      <c r="D7" s="10">
        <f t="shared" ref="D7:H7" si="4">+D21*6%</f>
        <v>972</v>
      </c>
      <c r="E7" s="10">
        <f t="shared" si="4"/>
        <v>1215</v>
      </c>
      <c r="F7" s="10">
        <f t="shared" si="4"/>
        <v>972</v>
      </c>
      <c r="G7" s="10">
        <f t="shared" si="4"/>
        <v>972</v>
      </c>
      <c r="H7" s="10">
        <f t="shared" si="4"/>
        <v>972</v>
      </c>
      <c r="I7" s="10">
        <f>+I21*6%</f>
        <v>972</v>
      </c>
      <c r="J7" s="10">
        <f t="shared" ref="J7:N7" si="5">+J21*6%</f>
        <v>1020.5999999999999</v>
      </c>
      <c r="K7" s="10">
        <f t="shared" si="5"/>
        <v>1020.5999999999999</v>
      </c>
      <c r="L7" s="10">
        <f t="shared" si="5"/>
        <v>1020.5999999999999</v>
      </c>
      <c r="M7" s="10">
        <f t="shared" si="5"/>
        <v>1020.5999999999999</v>
      </c>
      <c r="N7" s="24">
        <f t="shared" si="5"/>
        <v>1020.5999999999999</v>
      </c>
    </row>
    <row r="8" spans="1:14" x14ac:dyDescent="0.25">
      <c r="A8" s="22" t="s">
        <v>28</v>
      </c>
      <c r="B8" s="57">
        <f>SUM(C8:N8)</f>
        <v>2000</v>
      </c>
      <c r="C8" s="10"/>
      <c r="D8" s="10"/>
      <c r="E8" s="10">
        <v>1000</v>
      </c>
      <c r="F8" s="10"/>
      <c r="G8" s="10"/>
      <c r="H8" s="10"/>
      <c r="I8" s="8"/>
      <c r="J8" s="8"/>
      <c r="K8" s="8">
        <v>1000</v>
      </c>
      <c r="L8" s="8"/>
      <c r="M8" s="8"/>
      <c r="N8" s="25"/>
    </row>
    <row r="9" spans="1:14" x14ac:dyDescent="0.25">
      <c r="A9" s="22" t="s">
        <v>29</v>
      </c>
      <c r="B9" s="57">
        <f>SUM(C9:N9)</f>
        <v>29000</v>
      </c>
      <c r="C9" s="10"/>
      <c r="D9" s="10"/>
      <c r="E9" s="10"/>
      <c r="F9" s="10"/>
      <c r="G9" s="10"/>
      <c r="H9" s="10"/>
      <c r="I9" s="8"/>
      <c r="J9" s="8"/>
      <c r="K9" s="8"/>
      <c r="L9" s="8"/>
      <c r="M9" s="8">
        <v>29000</v>
      </c>
      <c r="N9" s="25"/>
    </row>
    <row r="10" spans="1:14" x14ac:dyDescent="0.25">
      <c r="A10" s="22" t="s">
        <v>30</v>
      </c>
      <c r="B10" s="57">
        <f t="shared" si="0"/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24"/>
    </row>
    <row r="11" spans="1:14" x14ac:dyDescent="0.25">
      <c r="A11" s="22" t="s">
        <v>31</v>
      </c>
      <c r="B11" s="57">
        <f t="shared" si="0"/>
        <v>0</v>
      </c>
      <c r="C11" s="10"/>
      <c r="D11" s="10"/>
      <c r="E11" s="10"/>
      <c r="F11" s="10"/>
      <c r="G11" s="10"/>
      <c r="H11" s="10"/>
      <c r="I11" s="8"/>
      <c r="J11" s="8"/>
      <c r="K11" s="8"/>
      <c r="L11" s="8"/>
      <c r="M11" s="8"/>
      <c r="N11" s="25"/>
    </row>
    <row r="12" spans="1:14" x14ac:dyDescent="0.25">
      <c r="A12" s="22"/>
      <c r="B12" s="57">
        <f t="shared" si="0"/>
        <v>0</v>
      </c>
      <c r="C12" s="10"/>
      <c r="D12" s="10"/>
      <c r="E12" s="10"/>
      <c r="F12" s="10"/>
      <c r="G12" s="10"/>
      <c r="H12" s="10"/>
      <c r="I12" s="8"/>
      <c r="J12" s="8"/>
      <c r="K12" s="8"/>
      <c r="L12" s="8"/>
      <c r="M12" s="8"/>
      <c r="N12" s="25"/>
    </row>
    <row r="13" spans="1:14" x14ac:dyDescent="0.25">
      <c r="A13" s="22"/>
      <c r="B13" s="57"/>
      <c r="C13" s="10"/>
      <c r="D13" s="10"/>
      <c r="E13" s="10"/>
      <c r="F13" s="10"/>
      <c r="G13" s="10"/>
      <c r="H13" s="10"/>
      <c r="I13" s="8"/>
      <c r="J13" s="8"/>
      <c r="K13" s="8"/>
      <c r="L13" s="8"/>
      <c r="M13" s="8"/>
      <c r="N13" s="25"/>
    </row>
    <row r="14" spans="1:14" x14ac:dyDescent="0.25">
      <c r="A14" s="22"/>
      <c r="B14" s="57">
        <f t="shared" si="0"/>
        <v>0</v>
      </c>
      <c r="C14" s="10"/>
      <c r="D14" s="10"/>
      <c r="E14" s="10"/>
      <c r="F14" s="10"/>
      <c r="G14" s="10"/>
      <c r="H14" s="10"/>
      <c r="I14" s="8"/>
      <c r="J14" s="8"/>
      <c r="K14" s="8"/>
      <c r="L14" s="8"/>
      <c r="M14" s="8"/>
      <c r="N14" s="25"/>
    </row>
    <row r="15" spans="1:14" ht="15.75" thickBot="1" x14ac:dyDescent="0.3">
      <c r="A15" s="31" t="s">
        <v>89</v>
      </c>
      <c r="B15" s="65">
        <f t="shared" ref="B15:M15" si="6">SUM(B2:B14)</f>
        <v>190656.4</v>
      </c>
      <c r="C15" s="65">
        <f t="shared" si="6"/>
        <v>13486.949999999999</v>
      </c>
      <c r="D15" s="65">
        <f t="shared" si="6"/>
        <v>13243.949999999999</v>
      </c>
      <c r="E15" s="65">
        <f t="shared" si="6"/>
        <v>14486.949999999999</v>
      </c>
      <c r="F15" s="65">
        <f t="shared" si="6"/>
        <v>13243.949999999999</v>
      </c>
      <c r="G15" s="65">
        <f t="shared" si="6"/>
        <v>13243.949999999999</v>
      </c>
      <c r="H15" s="65">
        <f t="shared" si="6"/>
        <v>13243.949999999999</v>
      </c>
      <c r="I15" s="65">
        <f t="shared" si="6"/>
        <v>13243.949999999999</v>
      </c>
      <c r="J15" s="65">
        <f t="shared" si="6"/>
        <v>13292.55</v>
      </c>
      <c r="K15" s="65">
        <f t="shared" si="6"/>
        <v>14292.55</v>
      </c>
      <c r="L15" s="65">
        <f t="shared" si="6"/>
        <v>13292.55</v>
      </c>
      <c r="M15" s="65">
        <f t="shared" si="6"/>
        <v>42292.55</v>
      </c>
      <c r="N15" s="65">
        <f>SUM(N2:N14)</f>
        <v>13292.55</v>
      </c>
    </row>
    <row r="16" spans="1:14" ht="15.75" thickBot="1" x14ac:dyDescent="0.3">
      <c r="B16" s="56">
        <f t="shared" si="0"/>
        <v>0</v>
      </c>
      <c r="C16" s="5"/>
      <c r="D16" s="5"/>
      <c r="E16" s="5"/>
      <c r="F16" s="5"/>
      <c r="G16" s="5"/>
      <c r="H16" s="5"/>
    </row>
    <row r="17" spans="1:14" x14ac:dyDescent="0.25">
      <c r="A17" s="66" t="s">
        <v>184</v>
      </c>
      <c r="B17" s="67">
        <f t="shared" si="0"/>
        <v>0.05</v>
      </c>
      <c r="C17" s="68"/>
      <c r="D17" s="68"/>
      <c r="E17" s="68"/>
      <c r="F17" s="68"/>
      <c r="G17" s="68"/>
      <c r="H17" s="68"/>
      <c r="I17" s="69"/>
      <c r="J17" s="76">
        <v>0.05</v>
      </c>
      <c r="K17" s="69"/>
      <c r="L17" s="69"/>
      <c r="M17" s="69"/>
      <c r="N17" s="70"/>
    </row>
    <row r="18" spans="1:14" x14ac:dyDescent="0.25">
      <c r="A18" s="22" t="s">
        <v>185</v>
      </c>
      <c r="B18" s="57"/>
      <c r="C18" s="10">
        <v>405</v>
      </c>
      <c r="D18" s="10">
        <v>405</v>
      </c>
      <c r="E18" s="10">
        <v>405</v>
      </c>
      <c r="F18" s="10">
        <v>405</v>
      </c>
      <c r="G18" s="10">
        <v>405</v>
      </c>
      <c r="H18" s="10">
        <v>405</v>
      </c>
      <c r="I18" s="10">
        <v>405</v>
      </c>
      <c r="J18" s="10">
        <f>+I18*(100%+J17)</f>
        <v>425.25</v>
      </c>
      <c r="K18" s="10">
        <f t="shared" ref="K18:N18" si="7">+J18*(100%+K17)</f>
        <v>425.25</v>
      </c>
      <c r="L18" s="10">
        <f t="shared" si="7"/>
        <v>425.25</v>
      </c>
      <c r="M18" s="10">
        <f t="shared" si="7"/>
        <v>425.25</v>
      </c>
      <c r="N18" s="10">
        <f t="shared" si="7"/>
        <v>425.25</v>
      </c>
    </row>
    <row r="19" spans="1:14" x14ac:dyDescent="0.25">
      <c r="A19" s="22" t="s">
        <v>186</v>
      </c>
      <c r="B19" s="57"/>
      <c r="C19" s="10">
        <v>10</v>
      </c>
      <c r="D19" s="10">
        <v>10</v>
      </c>
      <c r="E19" s="10">
        <v>10</v>
      </c>
      <c r="F19" s="10">
        <v>10</v>
      </c>
      <c r="G19" s="10">
        <v>10</v>
      </c>
      <c r="H19" s="10">
        <v>10</v>
      </c>
      <c r="I19" s="10">
        <v>10</v>
      </c>
      <c r="J19" s="10">
        <v>10</v>
      </c>
      <c r="K19" s="10">
        <v>10</v>
      </c>
      <c r="L19" s="10">
        <v>10</v>
      </c>
      <c r="M19" s="10">
        <v>10</v>
      </c>
      <c r="N19" s="24">
        <v>10</v>
      </c>
    </row>
    <row r="20" spans="1:14" x14ac:dyDescent="0.25">
      <c r="A20" s="22" t="s">
        <v>187</v>
      </c>
      <c r="B20" s="57">
        <f t="shared" si="0"/>
        <v>50</v>
      </c>
      <c r="C20" s="10">
        <v>5</v>
      </c>
      <c r="D20" s="10">
        <v>4</v>
      </c>
      <c r="E20" s="10">
        <v>5</v>
      </c>
      <c r="F20" s="10">
        <v>4</v>
      </c>
      <c r="G20" s="10">
        <v>4</v>
      </c>
      <c r="H20" s="10">
        <v>4</v>
      </c>
      <c r="I20" s="10">
        <v>4</v>
      </c>
      <c r="J20" s="10">
        <v>4</v>
      </c>
      <c r="K20" s="10">
        <v>4</v>
      </c>
      <c r="L20" s="10">
        <v>4</v>
      </c>
      <c r="M20" s="10">
        <v>4</v>
      </c>
      <c r="N20" s="24">
        <v>4</v>
      </c>
    </row>
    <row r="21" spans="1:14" ht="15.75" thickBot="1" x14ac:dyDescent="0.3">
      <c r="A21" s="49" t="s">
        <v>188</v>
      </c>
      <c r="B21" s="63">
        <f t="shared" si="0"/>
        <v>206550</v>
      </c>
      <c r="C21" s="71">
        <f>+C18*C19*C20</f>
        <v>20250</v>
      </c>
      <c r="D21" s="71">
        <f t="shared" ref="D21:N21" si="8">+D18*D19*D20</f>
        <v>16200</v>
      </c>
      <c r="E21" s="71">
        <f t="shared" si="8"/>
        <v>20250</v>
      </c>
      <c r="F21" s="71">
        <f t="shared" si="8"/>
        <v>16200</v>
      </c>
      <c r="G21" s="71">
        <f t="shared" si="8"/>
        <v>16200</v>
      </c>
      <c r="H21" s="71">
        <f t="shared" si="8"/>
        <v>16200</v>
      </c>
      <c r="I21" s="71">
        <f t="shared" si="8"/>
        <v>16200</v>
      </c>
      <c r="J21" s="71">
        <f t="shared" si="8"/>
        <v>17010</v>
      </c>
      <c r="K21" s="71">
        <f t="shared" si="8"/>
        <v>17010</v>
      </c>
      <c r="L21" s="71">
        <f t="shared" si="8"/>
        <v>17010</v>
      </c>
      <c r="M21" s="71">
        <f t="shared" si="8"/>
        <v>17010</v>
      </c>
      <c r="N21" s="72">
        <f t="shared" si="8"/>
        <v>17010</v>
      </c>
    </row>
    <row r="22" spans="1:14" x14ac:dyDescent="0.25">
      <c r="B22" s="84">
        <f t="shared" si="0"/>
        <v>0</v>
      </c>
      <c r="C22" s="5"/>
      <c r="D22" s="5"/>
      <c r="E22" s="5"/>
      <c r="F22" s="5"/>
      <c r="G22" s="5"/>
      <c r="H22" s="5"/>
    </row>
    <row r="23" spans="1:14" ht="15.75" thickBot="1" x14ac:dyDescent="0.3">
      <c r="B23" s="84">
        <f t="shared" si="0"/>
        <v>0</v>
      </c>
      <c r="C23" s="5"/>
      <c r="D23" s="5"/>
      <c r="E23" s="5"/>
      <c r="F23" s="5"/>
      <c r="G23" s="5"/>
      <c r="H23" s="5"/>
    </row>
    <row r="24" spans="1:14" ht="15.75" thickBot="1" x14ac:dyDescent="0.3">
      <c r="A24" s="85" t="s">
        <v>189</v>
      </c>
      <c r="B24" s="86">
        <f>B21-B15</f>
        <v>15893.600000000006</v>
      </c>
      <c r="C24" s="86">
        <f t="shared" ref="C24:N24" si="9">C21-C15</f>
        <v>6763.0500000000011</v>
      </c>
      <c r="D24" s="86">
        <f t="shared" si="9"/>
        <v>2956.0500000000011</v>
      </c>
      <c r="E24" s="86">
        <f t="shared" si="9"/>
        <v>5763.0500000000011</v>
      </c>
      <c r="F24" s="86">
        <f t="shared" si="9"/>
        <v>2956.0500000000011</v>
      </c>
      <c r="G24" s="86">
        <f t="shared" si="9"/>
        <v>2956.0500000000011</v>
      </c>
      <c r="H24" s="86">
        <f t="shared" si="9"/>
        <v>2956.0500000000011</v>
      </c>
      <c r="I24" s="86">
        <f t="shared" si="9"/>
        <v>2956.0500000000011</v>
      </c>
      <c r="J24" s="86">
        <f t="shared" si="9"/>
        <v>3717.4500000000007</v>
      </c>
      <c r="K24" s="86">
        <f t="shared" si="9"/>
        <v>2717.4500000000007</v>
      </c>
      <c r="L24" s="86">
        <f t="shared" si="9"/>
        <v>3717.4500000000007</v>
      </c>
      <c r="M24" s="86">
        <f t="shared" si="9"/>
        <v>-25282.550000000003</v>
      </c>
      <c r="N24" s="87">
        <f t="shared" si="9"/>
        <v>3717.4500000000007</v>
      </c>
    </row>
    <row r="25" spans="1:14" x14ac:dyDescent="0.25">
      <c r="C25" s="5"/>
      <c r="D25" s="5"/>
      <c r="E25" s="5"/>
      <c r="F25" s="5"/>
      <c r="G25" s="5"/>
      <c r="H25" s="5"/>
    </row>
    <row r="26" spans="1:14" x14ac:dyDescent="0.25">
      <c r="C26" s="5"/>
      <c r="D26" s="5"/>
      <c r="E26" s="5"/>
      <c r="F26" s="5"/>
      <c r="G26" s="5"/>
      <c r="H26" s="5"/>
    </row>
    <row r="27" spans="1:14" x14ac:dyDescent="0.25">
      <c r="C27" s="5"/>
      <c r="D27" s="5"/>
      <c r="E27" s="5"/>
      <c r="F27" s="5"/>
      <c r="G27" s="5"/>
      <c r="H27" s="5"/>
    </row>
    <row r="28" spans="1:14" x14ac:dyDescent="0.25">
      <c r="C28" s="5"/>
      <c r="D28" s="5"/>
      <c r="E28" s="5"/>
      <c r="F28" s="5"/>
      <c r="G28" s="5"/>
      <c r="H28" s="5"/>
    </row>
    <row r="29" spans="1:14" x14ac:dyDescent="0.25">
      <c r="C29" s="5"/>
      <c r="D29" s="5"/>
      <c r="E29" s="5"/>
      <c r="F29" s="5"/>
      <c r="G29" s="5"/>
      <c r="H29" s="5"/>
    </row>
    <row r="30" spans="1:14" x14ac:dyDescent="0.25">
      <c r="C30" s="5"/>
      <c r="D30" s="5"/>
      <c r="E30" s="5"/>
      <c r="F30" s="5"/>
      <c r="G30" s="5"/>
      <c r="H30" s="5"/>
    </row>
    <row r="31" spans="1:14" x14ac:dyDescent="0.25">
      <c r="C31" s="5"/>
      <c r="D31" s="5"/>
      <c r="E31" s="5"/>
      <c r="F31" s="5"/>
      <c r="G31" s="5"/>
      <c r="H31" s="5"/>
    </row>
    <row r="32" spans="1:14" x14ac:dyDescent="0.25">
      <c r="C32" s="5"/>
      <c r="D32" s="5"/>
      <c r="E32" s="5"/>
      <c r="F32" s="5"/>
      <c r="G32" s="5"/>
      <c r="H32" s="5"/>
    </row>
    <row r="33" spans="3:8" x14ac:dyDescent="0.25">
      <c r="C33" s="5"/>
      <c r="D33" s="5"/>
      <c r="E33" s="5"/>
      <c r="F33" s="5"/>
      <c r="G33" s="5"/>
      <c r="H33" s="5"/>
    </row>
    <row r="34" spans="3:8" x14ac:dyDescent="0.25">
      <c r="C34" s="5"/>
      <c r="D34" s="5"/>
      <c r="E34" s="5"/>
      <c r="F34" s="5"/>
      <c r="G34" s="5"/>
      <c r="H34" s="5"/>
    </row>
    <row r="35" spans="3:8" x14ac:dyDescent="0.25">
      <c r="C35" s="5"/>
      <c r="D35" s="5"/>
      <c r="E35" s="5"/>
      <c r="F35" s="5"/>
      <c r="G35" s="5"/>
      <c r="H35" s="5"/>
    </row>
    <row r="36" spans="3:8" x14ac:dyDescent="0.25">
      <c r="C36" s="5"/>
      <c r="D36" s="5"/>
      <c r="E36" s="5"/>
      <c r="F36" s="5"/>
      <c r="G36" s="5"/>
      <c r="H36" s="5"/>
    </row>
    <row r="37" spans="3:8" x14ac:dyDescent="0.25">
      <c r="C37" s="5"/>
      <c r="D37" s="5"/>
      <c r="E37" s="5"/>
      <c r="F37" s="5"/>
      <c r="G37" s="5"/>
      <c r="H37" s="5"/>
    </row>
    <row r="38" spans="3:8" x14ac:dyDescent="0.25">
      <c r="C38" s="5"/>
      <c r="D38" s="5"/>
      <c r="E38" s="5"/>
      <c r="F38" s="5"/>
      <c r="G38" s="5"/>
      <c r="H38" s="5"/>
    </row>
    <row r="39" spans="3:8" x14ac:dyDescent="0.25">
      <c r="C39" s="5"/>
      <c r="D39" s="5"/>
      <c r="E39" s="5"/>
      <c r="F39" s="5"/>
      <c r="G39" s="5"/>
      <c r="H39" s="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9629A-6310-47B7-9F10-1A8C344AF75C}">
  <dimension ref="A1:N39"/>
  <sheetViews>
    <sheetView zoomScale="115" zoomScaleNormal="115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C2" sqref="C2"/>
    </sheetView>
  </sheetViews>
  <sheetFormatPr defaultRowHeight="15" x14ac:dyDescent="0.25"/>
  <cols>
    <col min="1" max="1" width="19.7109375" customWidth="1"/>
    <col min="2" max="2" width="9.5703125" customWidth="1"/>
    <col min="3" max="3" width="9.7109375" bestFit="1" customWidth="1"/>
    <col min="4" max="8" width="9" customWidth="1"/>
  </cols>
  <sheetData>
    <row r="1" spans="1:14" x14ac:dyDescent="0.25">
      <c r="A1" s="59" t="s">
        <v>181</v>
      </c>
      <c r="B1" s="60" t="s">
        <v>190</v>
      </c>
      <c r="C1" s="61">
        <v>46569</v>
      </c>
      <c r="D1" s="61">
        <v>46600</v>
      </c>
      <c r="E1" s="61">
        <v>46631</v>
      </c>
      <c r="F1" s="61">
        <v>46661</v>
      </c>
      <c r="G1" s="61">
        <v>46692</v>
      </c>
      <c r="H1" s="61">
        <v>46722</v>
      </c>
      <c r="I1" s="61">
        <v>46753</v>
      </c>
      <c r="J1" s="61">
        <v>46784</v>
      </c>
      <c r="K1" s="61">
        <v>46813</v>
      </c>
      <c r="L1" s="61">
        <v>46844</v>
      </c>
      <c r="M1" s="61">
        <v>46874</v>
      </c>
      <c r="N1" s="61">
        <v>46905</v>
      </c>
    </row>
    <row r="2" spans="1:14" x14ac:dyDescent="0.25">
      <c r="A2" s="22" t="s">
        <v>82</v>
      </c>
      <c r="B2" s="57">
        <f t="shared" ref="B2:B23" si="0">SUM(C2:N2)</f>
        <v>115919.99999999999</v>
      </c>
      <c r="C2" s="10">
        <f>+((2760000*70%)*6%)/12</f>
        <v>9659.9999999999982</v>
      </c>
      <c r="D2" s="10">
        <f t="shared" ref="D2:N2" si="1">+((2760000*70%)*6%)/12</f>
        <v>9659.9999999999982</v>
      </c>
      <c r="E2" s="10">
        <f t="shared" si="1"/>
        <v>9659.9999999999982</v>
      </c>
      <c r="F2" s="10">
        <f t="shared" si="1"/>
        <v>9659.9999999999982</v>
      </c>
      <c r="G2" s="10">
        <f t="shared" si="1"/>
        <v>9659.9999999999982</v>
      </c>
      <c r="H2" s="10">
        <f t="shared" si="1"/>
        <v>9659.9999999999982</v>
      </c>
      <c r="I2" s="10">
        <f t="shared" si="1"/>
        <v>9659.9999999999982</v>
      </c>
      <c r="J2" s="10">
        <f t="shared" si="1"/>
        <v>9659.9999999999982</v>
      </c>
      <c r="K2" s="10">
        <f t="shared" si="1"/>
        <v>9659.9999999999982</v>
      </c>
      <c r="L2" s="10">
        <f t="shared" si="1"/>
        <v>9659.9999999999982</v>
      </c>
      <c r="M2" s="10">
        <f t="shared" si="1"/>
        <v>9659.9999999999982</v>
      </c>
      <c r="N2" s="10">
        <f t="shared" si="1"/>
        <v>9659.9999999999982</v>
      </c>
    </row>
    <row r="3" spans="1:14" x14ac:dyDescent="0.25">
      <c r="A3" s="22" t="s">
        <v>24</v>
      </c>
      <c r="B3" s="57">
        <f t="shared" si="0"/>
        <v>15600</v>
      </c>
      <c r="C3" s="44">
        <v>1300</v>
      </c>
      <c r="D3" s="44">
        <v>1300</v>
      </c>
      <c r="E3" s="44">
        <v>1300</v>
      </c>
      <c r="F3" s="44">
        <v>1300</v>
      </c>
      <c r="G3" s="44">
        <v>1300</v>
      </c>
      <c r="H3" s="44">
        <v>1300</v>
      </c>
      <c r="I3" s="44">
        <v>1300</v>
      </c>
      <c r="J3" s="44">
        <v>1300</v>
      </c>
      <c r="K3" s="44">
        <v>1300</v>
      </c>
      <c r="L3" s="44">
        <v>1300</v>
      </c>
      <c r="M3" s="44">
        <v>1300</v>
      </c>
      <c r="N3" s="44">
        <v>1300</v>
      </c>
    </row>
    <row r="4" spans="1:14" x14ac:dyDescent="0.25">
      <c r="A4" s="22" t="s">
        <v>25</v>
      </c>
      <c r="B4" s="57">
        <f t="shared" si="0"/>
        <v>8400</v>
      </c>
      <c r="C4" s="10">
        <v>700</v>
      </c>
      <c r="D4" s="10">
        <v>700</v>
      </c>
      <c r="E4" s="10">
        <v>700</v>
      </c>
      <c r="F4" s="10">
        <v>700</v>
      </c>
      <c r="G4" s="10">
        <v>700</v>
      </c>
      <c r="H4" s="10">
        <v>700</v>
      </c>
      <c r="I4" s="10">
        <v>700</v>
      </c>
      <c r="J4" s="10">
        <v>700</v>
      </c>
      <c r="K4" s="10">
        <v>700</v>
      </c>
      <c r="L4" s="10">
        <v>700</v>
      </c>
      <c r="M4" s="10">
        <v>700</v>
      </c>
      <c r="N4" s="10">
        <v>700</v>
      </c>
    </row>
    <row r="5" spans="1:14" x14ac:dyDescent="0.25">
      <c r="A5" s="22" t="s">
        <v>83</v>
      </c>
      <c r="B5" s="57">
        <f t="shared" si="0"/>
        <v>3600</v>
      </c>
      <c r="C5" s="10">
        <v>300</v>
      </c>
      <c r="D5" s="10">
        <v>300</v>
      </c>
      <c r="E5" s="10">
        <v>300</v>
      </c>
      <c r="F5" s="10">
        <v>300</v>
      </c>
      <c r="G5" s="10">
        <v>300</v>
      </c>
      <c r="H5" s="10">
        <v>300</v>
      </c>
      <c r="I5" s="10">
        <v>300</v>
      </c>
      <c r="J5" s="10">
        <v>300</v>
      </c>
      <c r="K5" s="10">
        <v>300</v>
      </c>
      <c r="L5" s="10">
        <v>300</v>
      </c>
      <c r="M5" s="10">
        <v>300</v>
      </c>
      <c r="N5" s="24">
        <v>300</v>
      </c>
    </row>
    <row r="6" spans="1:14" x14ac:dyDescent="0.25">
      <c r="A6" s="22" t="s">
        <v>26</v>
      </c>
      <c r="B6" s="57">
        <f t="shared" si="0"/>
        <v>6180</v>
      </c>
      <c r="C6" s="10">
        <f>500*1.03</f>
        <v>515</v>
      </c>
      <c r="D6" s="10">
        <f t="shared" ref="D6:N6" si="2">500*1.03</f>
        <v>515</v>
      </c>
      <c r="E6" s="10">
        <f t="shared" si="2"/>
        <v>515</v>
      </c>
      <c r="F6" s="10">
        <f t="shared" si="2"/>
        <v>515</v>
      </c>
      <c r="G6" s="10">
        <f t="shared" si="2"/>
        <v>515</v>
      </c>
      <c r="H6" s="10">
        <f t="shared" si="2"/>
        <v>515</v>
      </c>
      <c r="I6" s="10">
        <f t="shared" si="2"/>
        <v>515</v>
      </c>
      <c r="J6" s="10">
        <f t="shared" si="2"/>
        <v>515</v>
      </c>
      <c r="K6" s="10">
        <f t="shared" si="2"/>
        <v>515</v>
      </c>
      <c r="L6" s="10">
        <f t="shared" si="2"/>
        <v>515</v>
      </c>
      <c r="M6" s="10">
        <f t="shared" si="2"/>
        <v>515</v>
      </c>
      <c r="N6" s="10">
        <f t="shared" si="2"/>
        <v>515</v>
      </c>
    </row>
    <row r="7" spans="1:14" x14ac:dyDescent="0.25">
      <c r="A7" s="22" t="s">
        <v>84</v>
      </c>
      <c r="B7" s="57">
        <f t="shared" si="0"/>
        <v>13005</v>
      </c>
      <c r="C7" s="10">
        <f>+C21*6%</f>
        <v>1275</v>
      </c>
      <c r="D7" s="10">
        <f t="shared" ref="D7:H7" si="3">+D21*6%</f>
        <v>1020</v>
      </c>
      <c r="E7" s="10">
        <f t="shared" si="3"/>
        <v>1275</v>
      </c>
      <c r="F7" s="10">
        <f t="shared" si="3"/>
        <v>1020</v>
      </c>
      <c r="G7" s="10">
        <f t="shared" si="3"/>
        <v>1020</v>
      </c>
      <c r="H7" s="10">
        <f t="shared" si="3"/>
        <v>1020</v>
      </c>
      <c r="I7" s="10">
        <f>+I21*6%</f>
        <v>1020</v>
      </c>
      <c r="J7" s="10">
        <f t="shared" ref="J7:N7" si="4">+J21*6%</f>
        <v>1071</v>
      </c>
      <c r="K7" s="10">
        <f t="shared" si="4"/>
        <v>1071</v>
      </c>
      <c r="L7" s="10">
        <f t="shared" si="4"/>
        <v>1071</v>
      </c>
      <c r="M7" s="10">
        <f t="shared" si="4"/>
        <v>1071</v>
      </c>
      <c r="N7" s="24">
        <f t="shared" si="4"/>
        <v>1071</v>
      </c>
    </row>
    <row r="8" spans="1:14" x14ac:dyDescent="0.25">
      <c r="A8" s="22" t="s">
        <v>28</v>
      </c>
      <c r="B8" s="57">
        <f>SUM(C8:N8)</f>
        <v>2000</v>
      </c>
      <c r="C8" s="10"/>
      <c r="D8" s="10"/>
      <c r="E8" s="10">
        <v>1000</v>
      </c>
      <c r="F8" s="10"/>
      <c r="G8" s="10"/>
      <c r="H8" s="10"/>
      <c r="I8" s="8"/>
      <c r="J8" s="8"/>
      <c r="K8" s="8">
        <v>1000</v>
      </c>
      <c r="L8" s="8"/>
      <c r="M8" s="8"/>
      <c r="N8" s="25"/>
    </row>
    <row r="9" spans="1:14" x14ac:dyDescent="0.25">
      <c r="A9" s="22" t="s">
        <v>29</v>
      </c>
      <c r="B9" s="57">
        <f>SUM(C9:N9)</f>
        <v>29000</v>
      </c>
      <c r="C9" s="10"/>
      <c r="D9" s="10"/>
      <c r="E9" s="10"/>
      <c r="F9" s="10"/>
      <c r="G9" s="10"/>
      <c r="H9" s="10"/>
      <c r="I9" s="8"/>
      <c r="J9" s="8"/>
      <c r="K9" s="8"/>
      <c r="L9" s="8"/>
      <c r="M9" s="8">
        <v>29000</v>
      </c>
      <c r="N9" s="25"/>
    </row>
    <row r="10" spans="1:14" x14ac:dyDescent="0.25">
      <c r="A10" s="22" t="s">
        <v>30</v>
      </c>
      <c r="B10" s="57">
        <f t="shared" si="0"/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24"/>
    </row>
    <row r="11" spans="1:14" x14ac:dyDescent="0.25">
      <c r="A11" s="22" t="s">
        <v>31</v>
      </c>
      <c r="B11" s="57">
        <f t="shared" si="0"/>
        <v>0</v>
      </c>
      <c r="C11" s="10"/>
      <c r="D11" s="10"/>
      <c r="E11" s="10"/>
      <c r="F11" s="10"/>
      <c r="G11" s="10"/>
      <c r="H11" s="10"/>
      <c r="I11" s="8"/>
      <c r="J11" s="8"/>
      <c r="K11" s="8"/>
      <c r="L11" s="8"/>
      <c r="M11" s="8"/>
      <c r="N11" s="25"/>
    </row>
    <row r="12" spans="1:14" x14ac:dyDescent="0.25">
      <c r="A12" s="22"/>
      <c r="B12" s="57">
        <f t="shared" si="0"/>
        <v>0</v>
      </c>
      <c r="C12" s="10"/>
      <c r="D12" s="10"/>
      <c r="E12" s="10"/>
      <c r="F12" s="10"/>
      <c r="G12" s="10"/>
      <c r="H12" s="10"/>
      <c r="I12" s="8"/>
      <c r="J12" s="8"/>
      <c r="K12" s="8"/>
      <c r="L12" s="8"/>
      <c r="M12" s="8"/>
      <c r="N12" s="25"/>
    </row>
    <row r="13" spans="1:14" x14ac:dyDescent="0.25">
      <c r="A13" s="22"/>
      <c r="B13" s="57"/>
      <c r="C13" s="10"/>
      <c r="D13" s="10"/>
      <c r="E13" s="10"/>
      <c r="F13" s="10"/>
      <c r="G13" s="10"/>
      <c r="H13" s="10"/>
      <c r="I13" s="8"/>
      <c r="J13" s="8"/>
      <c r="K13" s="8"/>
      <c r="L13" s="8"/>
      <c r="M13" s="8"/>
      <c r="N13" s="25"/>
    </row>
    <row r="14" spans="1:14" x14ac:dyDescent="0.25">
      <c r="A14" s="22"/>
      <c r="B14" s="57">
        <f t="shared" si="0"/>
        <v>0</v>
      </c>
      <c r="C14" s="10"/>
      <c r="D14" s="10"/>
      <c r="E14" s="10"/>
      <c r="F14" s="10"/>
      <c r="G14" s="10"/>
      <c r="H14" s="10"/>
      <c r="I14" s="8"/>
      <c r="J14" s="8"/>
      <c r="K14" s="8"/>
      <c r="L14" s="8"/>
      <c r="M14" s="8"/>
      <c r="N14" s="25"/>
    </row>
    <row r="15" spans="1:14" ht="15.75" thickBot="1" x14ac:dyDescent="0.3">
      <c r="A15" s="31" t="s">
        <v>89</v>
      </c>
      <c r="B15" s="65">
        <f t="shared" ref="B15:M15" si="5">SUM(B2:B14)</f>
        <v>193705</v>
      </c>
      <c r="C15" s="65">
        <f t="shared" si="5"/>
        <v>13749.999999999998</v>
      </c>
      <c r="D15" s="65">
        <f t="shared" si="5"/>
        <v>13494.999999999998</v>
      </c>
      <c r="E15" s="65">
        <f t="shared" si="5"/>
        <v>14749.999999999998</v>
      </c>
      <c r="F15" s="65">
        <f t="shared" si="5"/>
        <v>13494.999999999998</v>
      </c>
      <c r="G15" s="65">
        <f t="shared" si="5"/>
        <v>13494.999999999998</v>
      </c>
      <c r="H15" s="65">
        <f t="shared" si="5"/>
        <v>13494.999999999998</v>
      </c>
      <c r="I15" s="65">
        <f t="shared" si="5"/>
        <v>13494.999999999998</v>
      </c>
      <c r="J15" s="65">
        <f t="shared" si="5"/>
        <v>13545.999999999998</v>
      </c>
      <c r="K15" s="65">
        <f t="shared" si="5"/>
        <v>14545.999999999998</v>
      </c>
      <c r="L15" s="65">
        <f t="shared" si="5"/>
        <v>13545.999999999998</v>
      </c>
      <c r="M15" s="65">
        <f t="shared" si="5"/>
        <v>42546</v>
      </c>
      <c r="N15" s="65">
        <f>SUM(N2:N14)</f>
        <v>13545.999999999998</v>
      </c>
    </row>
    <row r="16" spans="1:14" ht="15.75" thickBot="1" x14ac:dyDescent="0.3">
      <c r="B16" s="56">
        <f t="shared" si="0"/>
        <v>0</v>
      </c>
      <c r="C16" s="5"/>
      <c r="D16" s="5"/>
      <c r="E16" s="5"/>
      <c r="F16" s="5"/>
      <c r="G16" s="5"/>
      <c r="H16" s="5"/>
    </row>
    <row r="17" spans="1:14" x14ac:dyDescent="0.25">
      <c r="A17" s="66" t="s">
        <v>184</v>
      </c>
      <c r="B17" s="67">
        <f t="shared" si="0"/>
        <v>0.05</v>
      </c>
      <c r="C17" s="68"/>
      <c r="D17" s="68"/>
      <c r="E17" s="68"/>
      <c r="F17" s="68"/>
      <c r="G17" s="68"/>
      <c r="H17" s="68"/>
      <c r="I17" s="69"/>
      <c r="J17" s="76">
        <v>0.05</v>
      </c>
      <c r="K17" s="69"/>
      <c r="L17" s="69"/>
      <c r="M17" s="69"/>
      <c r="N17" s="70"/>
    </row>
    <row r="18" spans="1:14" x14ac:dyDescent="0.25">
      <c r="A18" s="22" t="s">
        <v>185</v>
      </c>
      <c r="B18" s="57"/>
      <c r="C18" s="10">
        <v>425</v>
      </c>
      <c r="D18" s="10">
        <v>425</v>
      </c>
      <c r="E18" s="10">
        <v>425</v>
      </c>
      <c r="F18" s="10">
        <v>425</v>
      </c>
      <c r="G18" s="10">
        <v>425</v>
      </c>
      <c r="H18" s="10">
        <v>425</v>
      </c>
      <c r="I18" s="10">
        <v>425</v>
      </c>
      <c r="J18" s="10">
        <f>+I18*(100%+J17)</f>
        <v>446.25</v>
      </c>
      <c r="K18" s="10">
        <f t="shared" ref="K18:N18" si="6">+J18*(100%+K17)</f>
        <v>446.25</v>
      </c>
      <c r="L18" s="10">
        <f t="shared" si="6"/>
        <v>446.25</v>
      </c>
      <c r="M18" s="10">
        <f t="shared" si="6"/>
        <v>446.25</v>
      </c>
      <c r="N18" s="10">
        <f t="shared" si="6"/>
        <v>446.25</v>
      </c>
    </row>
    <row r="19" spans="1:14" x14ac:dyDescent="0.25">
      <c r="A19" s="22" t="s">
        <v>186</v>
      </c>
      <c r="B19" s="57"/>
      <c r="C19" s="10">
        <v>10</v>
      </c>
      <c r="D19" s="10">
        <v>10</v>
      </c>
      <c r="E19" s="10">
        <v>10</v>
      </c>
      <c r="F19" s="10">
        <v>10</v>
      </c>
      <c r="G19" s="10">
        <v>10</v>
      </c>
      <c r="H19" s="10">
        <v>10</v>
      </c>
      <c r="I19" s="10">
        <v>10</v>
      </c>
      <c r="J19" s="10">
        <v>10</v>
      </c>
      <c r="K19" s="10">
        <v>10</v>
      </c>
      <c r="L19" s="10">
        <v>10</v>
      </c>
      <c r="M19" s="10">
        <v>10</v>
      </c>
      <c r="N19" s="24">
        <v>10</v>
      </c>
    </row>
    <row r="20" spans="1:14" x14ac:dyDescent="0.25">
      <c r="A20" s="22" t="s">
        <v>187</v>
      </c>
      <c r="B20" s="57">
        <f t="shared" si="0"/>
        <v>50</v>
      </c>
      <c r="C20" s="10">
        <v>5</v>
      </c>
      <c r="D20" s="10">
        <v>4</v>
      </c>
      <c r="E20" s="10">
        <v>5</v>
      </c>
      <c r="F20" s="10">
        <v>4</v>
      </c>
      <c r="G20" s="10">
        <v>4</v>
      </c>
      <c r="H20" s="10">
        <v>4</v>
      </c>
      <c r="I20" s="10">
        <v>4</v>
      </c>
      <c r="J20" s="10">
        <v>4</v>
      </c>
      <c r="K20" s="10">
        <v>4</v>
      </c>
      <c r="L20" s="10">
        <v>4</v>
      </c>
      <c r="M20" s="10">
        <v>4</v>
      </c>
      <c r="N20" s="24">
        <v>4</v>
      </c>
    </row>
    <row r="21" spans="1:14" ht="15.75" thickBot="1" x14ac:dyDescent="0.3">
      <c r="A21" s="49" t="s">
        <v>188</v>
      </c>
      <c r="B21" s="63">
        <f t="shared" si="0"/>
        <v>216750</v>
      </c>
      <c r="C21" s="71">
        <f>+C18*C19*C20</f>
        <v>21250</v>
      </c>
      <c r="D21" s="71">
        <f t="shared" ref="D21:N21" si="7">+D18*D19*D20</f>
        <v>17000</v>
      </c>
      <c r="E21" s="71">
        <f t="shared" si="7"/>
        <v>21250</v>
      </c>
      <c r="F21" s="71">
        <f t="shared" si="7"/>
        <v>17000</v>
      </c>
      <c r="G21" s="71">
        <f t="shared" si="7"/>
        <v>17000</v>
      </c>
      <c r="H21" s="71">
        <f t="shared" si="7"/>
        <v>17000</v>
      </c>
      <c r="I21" s="71">
        <f t="shared" si="7"/>
        <v>17000</v>
      </c>
      <c r="J21" s="71">
        <f t="shared" si="7"/>
        <v>17850</v>
      </c>
      <c r="K21" s="71">
        <f t="shared" si="7"/>
        <v>17850</v>
      </c>
      <c r="L21" s="71">
        <f t="shared" si="7"/>
        <v>17850</v>
      </c>
      <c r="M21" s="71">
        <f t="shared" si="7"/>
        <v>17850</v>
      </c>
      <c r="N21" s="72">
        <f t="shared" si="7"/>
        <v>17850</v>
      </c>
    </row>
    <row r="22" spans="1:14" x14ac:dyDescent="0.25">
      <c r="B22" s="84">
        <f t="shared" si="0"/>
        <v>0</v>
      </c>
      <c r="C22" s="5"/>
      <c r="D22" s="5"/>
      <c r="E22" s="5"/>
      <c r="F22" s="5"/>
      <c r="G22" s="5"/>
      <c r="H22" s="5"/>
    </row>
    <row r="23" spans="1:14" ht="15.75" thickBot="1" x14ac:dyDescent="0.3">
      <c r="B23" s="84">
        <f t="shared" si="0"/>
        <v>0</v>
      </c>
      <c r="C23" s="5"/>
      <c r="D23" s="5"/>
      <c r="E23" s="5"/>
      <c r="F23" s="5"/>
      <c r="G23" s="5"/>
      <c r="H23" s="5"/>
    </row>
    <row r="24" spans="1:14" ht="15.75" thickBot="1" x14ac:dyDescent="0.3">
      <c r="A24" s="85" t="s">
        <v>189</v>
      </c>
      <c r="B24" s="86">
        <f>B21-B15</f>
        <v>23045</v>
      </c>
      <c r="C24" s="86">
        <f t="shared" ref="C24:N24" si="8">C21-C15</f>
        <v>7500.0000000000018</v>
      </c>
      <c r="D24" s="86">
        <f t="shared" si="8"/>
        <v>3505.0000000000018</v>
      </c>
      <c r="E24" s="86">
        <f t="shared" si="8"/>
        <v>6500.0000000000018</v>
      </c>
      <c r="F24" s="86">
        <f t="shared" si="8"/>
        <v>3505.0000000000018</v>
      </c>
      <c r="G24" s="86">
        <f t="shared" si="8"/>
        <v>3505.0000000000018</v>
      </c>
      <c r="H24" s="86">
        <f t="shared" si="8"/>
        <v>3505.0000000000018</v>
      </c>
      <c r="I24" s="86">
        <f t="shared" si="8"/>
        <v>3505.0000000000018</v>
      </c>
      <c r="J24" s="86">
        <f t="shared" si="8"/>
        <v>4304.0000000000018</v>
      </c>
      <c r="K24" s="86">
        <f t="shared" si="8"/>
        <v>3304.0000000000018</v>
      </c>
      <c r="L24" s="86">
        <f t="shared" si="8"/>
        <v>4304.0000000000018</v>
      </c>
      <c r="M24" s="86">
        <f t="shared" si="8"/>
        <v>-24696</v>
      </c>
      <c r="N24" s="87">
        <f t="shared" si="8"/>
        <v>4304.0000000000018</v>
      </c>
    </row>
    <row r="25" spans="1:14" x14ac:dyDescent="0.25">
      <c r="C25" s="5"/>
      <c r="D25" s="5"/>
      <c r="E25" s="5"/>
      <c r="F25" s="5"/>
      <c r="G25" s="5"/>
      <c r="H25" s="5"/>
    </row>
    <row r="26" spans="1:14" x14ac:dyDescent="0.25">
      <c r="C26" s="5"/>
      <c r="D26" s="5"/>
      <c r="E26" s="5"/>
      <c r="F26" s="5"/>
      <c r="G26" s="5"/>
      <c r="H26" s="5"/>
    </row>
    <row r="27" spans="1:14" x14ac:dyDescent="0.25">
      <c r="C27" s="5"/>
      <c r="D27" s="5"/>
      <c r="E27" s="5"/>
      <c r="F27" s="5"/>
      <c r="G27" s="5"/>
      <c r="H27" s="5"/>
    </row>
    <row r="28" spans="1:14" x14ac:dyDescent="0.25">
      <c r="C28" s="5"/>
      <c r="D28" s="5"/>
      <c r="E28" s="5"/>
      <c r="F28" s="5"/>
      <c r="G28" s="5"/>
      <c r="H28" s="5"/>
    </row>
    <row r="29" spans="1:14" x14ac:dyDescent="0.25">
      <c r="C29" s="5"/>
      <c r="D29" s="5"/>
      <c r="E29" s="5"/>
      <c r="F29" s="5"/>
      <c r="G29" s="5"/>
      <c r="H29" s="5"/>
    </row>
    <row r="30" spans="1:14" x14ac:dyDescent="0.25">
      <c r="C30" s="5"/>
      <c r="D30" s="5"/>
      <c r="E30" s="5"/>
      <c r="F30" s="5"/>
      <c r="G30" s="5"/>
      <c r="H30" s="5"/>
    </row>
    <row r="31" spans="1:14" x14ac:dyDescent="0.25">
      <c r="C31" s="5"/>
      <c r="D31" s="5"/>
      <c r="E31" s="5"/>
      <c r="F31" s="5"/>
      <c r="G31" s="5"/>
      <c r="H31" s="5"/>
    </row>
    <row r="32" spans="1:14" x14ac:dyDescent="0.25">
      <c r="C32" s="5"/>
      <c r="D32" s="5"/>
      <c r="E32" s="5"/>
      <c r="F32" s="5"/>
      <c r="G32" s="5"/>
      <c r="H32" s="5"/>
    </row>
    <row r="33" spans="3:8" x14ac:dyDescent="0.25">
      <c r="C33" s="5"/>
      <c r="D33" s="5"/>
      <c r="E33" s="5"/>
      <c r="F33" s="5"/>
      <c r="G33" s="5"/>
      <c r="H33" s="5"/>
    </row>
    <row r="34" spans="3:8" x14ac:dyDescent="0.25">
      <c r="C34" s="5"/>
      <c r="D34" s="5"/>
      <c r="E34" s="5"/>
      <c r="F34" s="5"/>
      <c r="G34" s="5"/>
      <c r="H34" s="5"/>
    </row>
    <row r="35" spans="3:8" x14ac:dyDescent="0.25">
      <c r="C35" s="5"/>
      <c r="D35" s="5"/>
      <c r="E35" s="5"/>
      <c r="F35" s="5"/>
      <c r="G35" s="5"/>
      <c r="H35" s="5"/>
    </row>
    <row r="36" spans="3:8" x14ac:dyDescent="0.25">
      <c r="C36" s="5"/>
      <c r="D36" s="5"/>
      <c r="E36" s="5"/>
      <c r="F36" s="5"/>
      <c r="G36" s="5"/>
      <c r="H36" s="5"/>
    </row>
    <row r="37" spans="3:8" x14ac:dyDescent="0.25">
      <c r="C37" s="5"/>
      <c r="D37" s="5"/>
      <c r="E37" s="5"/>
      <c r="F37" s="5"/>
      <c r="G37" s="5"/>
      <c r="H37" s="5"/>
    </row>
    <row r="38" spans="3:8" x14ac:dyDescent="0.25">
      <c r="C38" s="5"/>
      <c r="D38" s="5"/>
      <c r="E38" s="5"/>
      <c r="F38" s="5"/>
      <c r="G38" s="5"/>
      <c r="H38" s="5"/>
    </row>
    <row r="39" spans="3:8" x14ac:dyDescent="0.25">
      <c r="C39" s="5"/>
      <c r="D39" s="5"/>
      <c r="E39" s="5"/>
      <c r="F39" s="5"/>
      <c r="G39" s="5"/>
      <c r="H39" s="5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A8A07-5B03-4A87-9481-34D18A6BF9A4}">
  <dimension ref="A1:AA78"/>
  <sheetViews>
    <sheetView topLeftCell="A3" zoomScale="115" zoomScaleNormal="115" workbookViewId="0">
      <selection activeCell="C9" sqref="C9"/>
    </sheetView>
  </sheetViews>
  <sheetFormatPr defaultRowHeight="15" x14ac:dyDescent="0.25"/>
  <cols>
    <col min="1" max="1" width="35.85546875" customWidth="1"/>
    <col min="2" max="2" width="14" customWidth="1"/>
    <col min="3" max="4" width="14.5703125" customWidth="1"/>
    <col min="5" max="6" width="12.42578125" customWidth="1"/>
    <col min="7" max="7" width="10.7109375" customWidth="1"/>
    <col min="8" max="8" width="11.5703125" customWidth="1"/>
    <col min="9" max="9" width="10" customWidth="1"/>
    <col min="10" max="10" width="9.28515625" customWidth="1"/>
    <col min="11" max="11" width="8.7109375" customWidth="1"/>
    <col min="12" max="12" width="10.42578125" customWidth="1"/>
    <col min="13" max="13" width="7.85546875" customWidth="1"/>
    <col min="14" max="14" width="11.5703125" customWidth="1"/>
    <col min="16" max="16" width="11.85546875" bestFit="1" customWidth="1"/>
    <col min="17" max="17" width="13.42578125" customWidth="1"/>
    <col min="18" max="18" width="11.7109375" customWidth="1"/>
    <col min="19" max="19" width="6.140625" customWidth="1"/>
    <col min="20" max="20" width="11.7109375" bestFit="1" customWidth="1"/>
    <col min="21" max="21" width="9.5703125" customWidth="1"/>
    <col min="22" max="22" width="11.7109375" bestFit="1" customWidth="1"/>
    <col min="24" max="24" width="12.5703125" customWidth="1"/>
    <col min="25" max="25" width="8" customWidth="1"/>
  </cols>
  <sheetData>
    <row r="1" spans="1:27" ht="15.75" thickBot="1" x14ac:dyDescent="0.3">
      <c r="A1" s="337" t="s">
        <v>37</v>
      </c>
      <c r="B1" s="338"/>
      <c r="C1" s="339"/>
      <c r="D1" s="196"/>
    </row>
    <row r="2" spans="1:27" x14ac:dyDescent="0.25">
      <c r="A2" s="118" t="s">
        <v>38</v>
      </c>
      <c r="B2" s="119" t="s">
        <v>39</v>
      </c>
      <c r="C2" s="120">
        <v>0</v>
      </c>
      <c r="D2" s="197"/>
      <c r="F2" s="198" t="s">
        <v>199</v>
      </c>
      <c r="G2" s="198"/>
      <c r="H2" s="198"/>
      <c r="I2" s="198"/>
      <c r="J2" s="198"/>
      <c r="K2" s="198"/>
      <c r="L2" s="198"/>
      <c r="M2" s="198"/>
      <c r="Z2" s="198"/>
      <c r="AA2" s="198" t="s">
        <v>200</v>
      </c>
    </row>
    <row r="3" spans="1:27" ht="15.75" thickBot="1" x14ac:dyDescent="0.3">
      <c r="A3" s="121" t="s">
        <v>40</v>
      </c>
      <c r="B3" s="122" t="s">
        <v>41</v>
      </c>
      <c r="C3" s="123">
        <f>+C2*9.29*C5</f>
        <v>0</v>
      </c>
      <c r="D3" s="197"/>
      <c r="F3" s="198"/>
      <c r="G3" s="226" t="s">
        <v>201</v>
      </c>
      <c r="H3" s="226" t="s">
        <v>202</v>
      </c>
      <c r="I3" s="226" t="s">
        <v>203</v>
      </c>
      <c r="J3" s="226" t="s">
        <v>204</v>
      </c>
      <c r="K3" s="226" t="s">
        <v>205</v>
      </c>
      <c r="L3" s="226" t="s">
        <v>149</v>
      </c>
      <c r="M3" s="198" t="s">
        <v>260</v>
      </c>
      <c r="Z3" s="198"/>
      <c r="AA3" s="198" t="s">
        <v>206</v>
      </c>
    </row>
    <row r="4" spans="1:27" ht="15.75" x14ac:dyDescent="0.25">
      <c r="A4" s="118" t="s">
        <v>42</v>
      </c>
      <c r="B4" s="119"/>
      <c r="C4" s="124">
        <v>1295</v>
      </c>
      <c r="D4" s="199"/>
      <c r="E4" s="200"/>
      <c r="F4" s="198" t="s">
        <v>12</v>
      </c>
      <c r="G4" s="198">
        <v>1</v>
      </c>
      <c r="H4" s="198">
        <v>70000</v>
      </c>
      <c r="I4" s="201">
        <v>45717</v>
      </c>
      <c r="J4" s="198">
        <v>15</v>
      </c>
      <c r="K4" s="202">
        <v>0.15</v>
      </c>
      <c r="L4" s="198">
        <f>(J4/12)*(H4*K4)</f>
        <v>13125</v>
      </c>
      <c r="M4" s="198"/>
      <c r="Z4" s="198"/>
      <c r="AA4" s="198"/>
    </row>
    <row r="5" spans="1:27" x14ac:dyDescent="0.25">
      <c r="A5" s="118" t="s">
        <v>43</v>
      </c>
      <c r="B5" s="119"/>
      <c r="C5" s="125">
        <v>2</v>
      </c>
      <c r="D5" s="203"/>
      <c r="E5" t="s">
        <v>207</v>
      </c>
      <c r="F5" s="198"/>
      <c r="G5" s="198">
        <v>2</v>
      </c>
      <c r="H5" s="198">
        <f>200000-H4</f>
        <v>130000</v>
      </c>
      <c r="I5" s="201">
        <v>45992</v>
      </c>
      <c r="J5" s="198">
        <v>5</v>
      </c>
      <c r="K5" s="202">
        <v>0.15</v>
      </c>
      <c r="L5" s="198">
        <f>(J5/12)*(H5*K5)</f>
        <v>8125</v>
      </c>
      <c r="M5" s="198">
        <f>SUM(L4:L5)</f>
        <v>21250</v>
      </c>
      <c r="Z5" s="198"/>
      <c r="AA5" s="198"/>
    </row>
    <row r="6" spans="1:27" x14ac:dyDescent="0.25">
      <c r="A6" s="118" t="s">
        <v>44</v>
      </c>
      <c r="B6" s="119">
        <v>2430</v>
      </c>
      <c r="C6" s="126">
        <f>+(1750000+1800000)/2</f>
        <v>1775000</v>
      </c>
      <c r="D6" s="204"/>
      <c r="E6" s="5">
        <f>C8/C4</f>
        <v>2741.3127413127413</v>
      </c>
      <c r="F6" s="205"/>
      <c r="G6" s="198" t="s">
        <v>89</v>
      </c>
      <c r="H6" s="198">
        <f>SUM(H4:H5)</f>
        <v>200000</v>
      </c>
      <c r="I6" s="198"/>
      <c r="J6" s="198"/>
      <c r="K6" s="198"/>
      <c r="L6" s="198"/>
      <c r="M6" s="198"/>
      <c r="Z6" s="198"/>
      <c r="AA6" s="198"/>
    </row>
    <row r="7" spans="1:27" x14ac:dyDescent="0.25">
      <c r="A7" s="118"/>
      <c r="B7" s="119"/>
      <c r="C7" s="127"/>
      <c r="D7" s="206"/>
      <c r="F7" s="198"/>
      <c r="G7" s="198"/>
      <c r="H7" s="198"/>
      <c r="I7" s="198"/>
      <c r="J7" s="198"/>
      <c r="K7" s="198"/>
      <c r="L7" s="198"/>
      <c r="M7" s="198"/>
      <c r="Z7" s="198"/>
      <c r="AA7" s="198"/>
    </row>
    <row r="8" spans="1:27" x14ac:dyDescent="0.25">
      <c r="A8" s="118" t="s">
        <v>45</v>
      </c>
      <c r="B8" s="119"/>
      <c r="C8" s="128">
        <f>C6*C5+C7</f>
        <v>3550000</v>
      </c>
      <c r="D8" s="207"/>
      <c r="E8" s="4"/>
      <c r="F8" s="198" t="s">
        <v>11</v>
      </c>
      <c r="G8" s="198">
        <v>1</v>
      </c>
      <c r="H8" s="198">
        <v>70000</v>
      </c>
      <c r="I8" s="201">
        <v>45748</v>
      </c>
      <c r="J8" s="198">
        <v>15</v>
      </c>
      <c r="K8" s="202">
        <v>0.15</v>
      </c>
      <c r="L8" s="198">
        <f>(J8/12)*(H8*K8)</f>
        <v>13125</v>
      </c>
      <c r="M8" s="198"/>
      <c r="Z8" s="198"/>
      <c r="AA8" s="198"/>
    </row>
    <row r="9" spans="1:27" x14ac:dyDescent="0.25">
      <c r="A9" s="118" t="s">
        <v>46</v>
      </c>
      <c r="B9" s="119"/>
      <c r="C9" s="128"/>
      <c r="D9" s="207"/>
      <c r="F9" s="198"/>
      <c r="G9" s="198">
        <v>2</v>
      </c>
      <c r="H9" s="198">
        <v>100000</v>
      </c>
      <c r="I9" s="201">
        <v>46023</v>
      </c>
      <c r="J9" s="198">
        <v>5</v>
      </c>
      <c r="K9" s="202">
        <v>0.15</v>
      </c>
      <c r="L9" s="198">
        <f>(J9/12)*(H9*K9)</f>
        <v>6250</v>
      </c>
      <c r="M9" s="198"/>
      <c r="Z9" s="198"/>
      <c r="AA9" s="198"/>
    </row>
    <row r="10" spans="1:27" x14ac:dyDescent="0.25">
      <c r="A10" s="129" t="s">
        <v>47</v>
      </c>
      <c r="B10" s="130">
        <f>C10/C10</f>
        <v>1</v>
      </c>
      <c r="C10" s="131">
        <f>+C8+C9</f>
        <v>3550000</v>
      </c>
      <c r="D10" s="208"/>
      <c r="F10" s="198"/>
      <c r="G10" s="198">
        <v>3</v>
      </c>
      <c r="H10" s="198">
        <f>400000-H9-H8</f>
        <v>230000</v>
      </c>
      <c r="I10" s="201">
        <v>46023</v>
      </c>
      <c r="J10" s="198">
        <v>5</v>
      </c>
      <c r="K10" s="202">
        <v>0.15</v>
      </c>
      <c r="L10" s="198">
        <f>(J10/12)*(H10*K10)</f>
        <v>14375</v>
      </c>
      <c r="M10" s="198">
        <f>SUM(L8:L10)</f>
        <v>33750</v>
      </c>
      <c r="Z10" s="198"/>
      <c r="AA10" s="198"/>
    </row>
    <row r="11" spans="1:27" x14ac:dyDescent="0.25">
      <c r="A11" s="132" t="s">
        <v>48</v>
      </c>
      <c r="B11" s="119"/>
      <c r="C11" s="127"/>
      <c r="D11" s="206"/>
      <c r="E11" t="s">
        <v>208</v>
      </c>
      <c r="F11" s="198"/>
      <c r="G11" s="198" t="s">
        <v>89</v>
      </c>
      <c r="H11" s="209">
        <f>SUM(H8:H10)</f>
        <v>400000</v>
      </c>
      <c r="I11" s="198"/>
      <c r="J11" s="198"/>
      <c r="K11" s="198"/>
      <c r="L11" s="198"/>
      <c r="M11" s="198"/>
      <c r="Z11" s="198"/>
      <c r="AA11" s="198"/>
    </row>
    <row r="12" spans="1:27" x14ac:dyDescent="0.25">
      <c r="A12" s="118" t="s">
        <v>49</v>
      </c>
      <c r="B12" s="133">
        <f>+C12/C10</f>
        <v>0.77746478873239433</v>
      </c>
      <c r="C12" s="134">
        <v>2760000</v>
      </c>
      <c r="D12" s="210"/>
      <c r="E12" s="154">
        <f>+C12/C4</f>
        <v>2131.2741312741314</v>
      </c>
      <c r="F12" s="198" t="s">
        <v>209</v>
      </c>
      <c r="G12" s="198"/>
      <c r="H12" s="209">
        <f>+H6+H11</f>
        <v>600000</v>
      </c>
      <c r="I12" s="198"/>
      <c r="J12" s="198"/>
      <c r="K12" s="198"/>
      <c r="L12" s="198"/>
      <c r="M12" s="198"/>
      <c r="Z12" s="198"/>
      <c r="AA12" s="198"/>
    </row>
    <row r="13" spans="1:27" x14ac:dyDescent="0.25">
      <c r="A13" s="118" t="s">
        <v>50</v>
      </c>
      <c r="B13" s="135">
        <v>0.06</v>
      </c>
      <c r="C13" s="127">
        <f>(C12+C11)*B13</f>
        <v>165600</v>
      </c>
      <c r="D13" s="206"/>
      <c r="F13" s="198"/>
      <c r="G13" s="198"/>
      <c r="H13" s="198"/>
      <c r="I13" s="198"/>
      <c r="J13" s="198"/>
      <c r="K13" s="198"/>
      <c r="L13" s="198"/>
      <c r="M13" s="198"/>
      <c r="Z13" s="198"/>
      <c r="AA13" s="198"/>
    </row>
    <row r="14" spans="1:27" x14ac:dyDescent="0.25">
      <c r="A14" s="118" t="s">
        <v>51</v>
      </c>
      <c r="B14" s="136"/>
      <c r="C14" s="127">
        <v>40000</v>
      </c>
      <c r="D14" s="206"/>
      <c r="F14" s="198" t="s">
        <v>210</v>
      </c>
      <c r="G14" s="198">
        <v>1</v>
      </c>
      <c r="H14" s="198">
        <v>150000</v>
      </c>
      <c r="I14" s="201">
        <v>46023</v>
      </c>
      <c r="J14" s="198">
        <v>5</v>
      </c>
      <c r="K14" s="202">
        <v>0.15</v>
      </c>
      <c r="L14" s="198">
        <f>(J14/12)*(H14*K14)</f>
        <v>9375</v>
      </c>
      <c r="M14" s="198">
        <f>+L14</f>
        <v>9375</v>
      </c>
      <c r="Z14" s="198"/>
      <c r="AA14" s="198"/>
    </row>
    <row r="15" spans="1:27" x14ac:dyDescent="0.25">
      <c r="A15" s="118" t="s">
        <v>211</v>
      </c>
      <c r="B15" s="119"/>
      <c r="C15" s="127">
        <v>13000</v>
      </c>
      <c r="D15" s="206"/>
      <c r="F15" s="198" t="s">
        <v>195</v>
      </c>
      <c r="G15" s="198">
        <v>1</v>
      </c>
      <c r="H15" s="198">
        <v>250000</v>
      </c>
      <c r="I15" s="201">
        <v>46023</v>
      </c>
      <c r="J15" s="198">
        <v>5</v>
      </c>
      <c r="K15" s="202">
        <v>0.15</v>
      </c>
      <c r="L15" s="198">
        <f>(J15/12)*(H15*K15)</f>
        <v>15625</v>
      </c>
      <c r="M15" s="198">
        <f>+L15</f>
        <v>15625</v>
      </c>
      <c r="Z15" s="198"/>
      <c r="AA15" s="198"/>
    </row>
    <row r="16" spans="1:27" x14ac:dyDescent="0.25">
      <c r="A16" s="118" t="s">
        <v>218</v>
      </c>
      <c r="B16" s="119"/>
      <c r="C16" s="127">
        <f>'Senior Funding Model'!C20</f>
        <v>28223.799999999996</v>
      </c>
      <c r="D16" s="206"/>
      <c r="F16" s="198"/>
      <c r="G16" s="198"/>
      <c r="H16" s="198"/>
      <c r="I16" s="201"/>
      <c r="J16" s="198"/>
      <c r="K16" s="202"/>
      <c r="L16" s="198"/>
      <c r="M16" s="198"/>
      <c r="Z16" s="198"/>
      <c r="AA16" s="198"/>
    </row>
    <row r="17" spans="1:27" x14ac:dyDescent="0.25">
      <c r="A17" s="129" t="s">
        <v>53</v>
      </c>
      <c r="B17" s="130">
        <f>C17/C10</f>
        <v>0.84699261971830986</v>
      </c>
      <c r="C17" s="131">
        <f>SUM(C11:C16)</f>
        <v>3006823.8</v>
      </c>
      <c r="D17" s="208"/>
      <c r="F17" s="198"/>
      <c r="G17" s="198"/>
      <c r="H17" s="198"/>
      <c r="I17" s="198"/>
      <c r="J17" s="198"/>
      <c r="K17" s="198"/>
      <c r="L17" s="198"/>
      <c r="M17" s="198"/>
      <c r="Z17" s="198"/>
      <c r="AA17" s="198"/>
    </row>
    <row r="18" spans="1:27" x14ac:dyDescent="0.25">
      <c r="A18" s="137" t="s">
        <v>52</v>
      </c>
      <c r="B18" s="138">
        <v>0.33</v>
      </c>
      <c r="C18" s="139">
        <v>0</v>
      </c>
      <c r="D18" s="139"/>
      <c r="E18" s="4"/>
      <c r="F18" s="198" t="s">
        <v>213</v>
      </c>
      <c r="G18" s="198"/>
      <c r="H18" s="211">
        <f>+H12+H14+H15</f>
        <v>1000000</v>
      </c>
      <c r="I18" s="198"/>
      <c r="J18" s="198"/>
      <c r="K18" s="212" t="s">
        <v>214</v>
      </c>
      <c r="L18" s="209">
        <f>SUM(L4:L17)</f>
        <v>80000</v>
      </c>
      <c r="M18" s="198"/>
      <c r="Z18" s="198"/>
      <c r="AA18" s="198"/>
    </row>
    <row r="19" spans="1:27" x14ac:dyDescent="0.25">
      <c r="A19" s="118" t="s">
        <v>215</v>
      </c>
      <c r="B19" s="135">
        <v>0.01</v>
      </c>
      <c r="C19" s="134">
        <v>50000</v>
      </c>
      <c r="D19" s="210"/>
      <c r="F19" s="198"/>
      <c r="G19" s="198"/>
      <c r="H19" s="198"/>
      <c r="I19" s="198"/>
      <c r="J19" s="198"/>
      <c r="K19" s="198"/>
      <c r="M19" s="209"/>
      <c r="Z19" s="198"/>
      <c r="AA19" s="198"/>
    </row>
    <row r="20" spans="1:27" x14ac:dyDescent="0.25">
      <c r="A20" s="118"/>
      <c r="B20" s="135">
        <v>8.0000000000000002E-3</v>
      </c>
      <c r="C20" s="134"/>
      <c r="D20" s="210"/>
      <c r="F20" s="198" t="s">
        <v>216</v>
      </c>
      <c r="G20" s="198">
        <v>1</v>
      </c>
      <c r="H20" s="209">
        <f>E28</f>
        <v>2208000</v>
      </c>
      <c r="I20" s="201">
        <v>46023</v>
      </c>
      <c r="J20" s="198">
        <v>5</v>
      </c>
      <c r="K20" s="202">
        <v>0.08</v>
      </c>
      <c r="L20" s="213">
        <f>(J20/12)*(H20*K20)</f>
        <v>73600</v>
      </c>
      <c r="M20" s="198"/>
      <c r="Z20" s="198"/>
      <c r="AA20" s="198"/>
    </row>
    <row r="21" spans="1:27" x14ac:dyDescent="0.25">
      <c r="A21" s="118" t="s">
        <v>54</v>
      </c>
      <c r="B21" s="135">
        <v>1.4999999999999999E-2</v>
      </c>
      <c r="C21" s="140">
        <f>$C$10*B21</f>
        <v>53250</v>
      </c>
      <c r="D21" s="214"/>
    </row>
    <row r="22" spans="1:27" x14ac:dyDescent="0.25">
      <c r="A22" s="118" t="s">
        <v>55</v>
      </c>
      <c r="B22" s="135"/>
      <c r="C22" s="140">
        <v>5000</v>
      </c>
      <c r="D22" s="214"/>
      <c r="F22" t="s">
        <v>89</v>
      </c>
      <c r="H22" s="7">
        <f>H20+H18</f>
        <v>3208000</v>
      </c>
      <c r="J22" t="s">
        <v>217</v>
      </c>
      <c r="L22" s="7">
        <f>+L20+L18</f>
        <v>153600</v>
      </c>
    </row>
    <row r="23" spans="1:27" x14ac:dyDescent="0.25">
      <c r="A23" s="137" t="s">
        <v>56</v>
      </c>
      <c r="B23" s="138"/>
      <c r="C23" s="141">
        <v>60000</v>
      </c>
      <c r="D23" s="214"/>
      <c r="F23" t="s">
        <v>35</v>
      </c>
      <c r="J23" s="53"/>
    </row>
    <row r="24" spans="1:27" x14ac:dyDescent="0.25">
      <c r="A24" s="137" t="s">
        <v>57</v>
      </c>
      <c r="B24" s="138"/>
      <c r="C24" s="142"/>
      <c r="D24" s="210"/>
    </row>
    <row r="25" spans="1:27" x14ac:dyDescent="0.25">
      <c r="D25" s="206"/>
    </row>
    <row r="26" spans="1:27" x14ac:dyDescent="0.25">
      <c r="A26" s="129" t="s">
        <v>58</v>
      </c>
      <c r="B26" s="143">
        <f>C26/C10</f>
        <v>4.7394366197183097E-2</v>
      </c>
      <c r="C26" s="131">
        <f>SUM(C18:C25)</f>
        <v>168250</v>
      </c>
      <c r="D26" s="208"/>
      <c r="R26" t="s">
        <v>219</v>
      </c>
      <c r="T26" t="s">
        <v>202</v>
      </c>
      <c r="U26" t="s">
        <v>220</v>
      </c>
      <c r="V26" t="s">
        <v>221</v>
      </c>
    </row>
    <row r="27" spans="1:27" x14ac:dyDescent="0.25">
      <c r="A27" s="129" t="s">
        <v>59</v>
      </c>
      <c r="B27" s="144"/>
      <c r="C27" s="145">
        <f>C17+C26</f>
        <v>3175073.8</v>
      </c>
      <c r="D27" s="145"/>
      <c r="E27" t="s">
        <v>212</v>
      </c>
      <c r="F27" t="s">
        <v>238</v>
      </c>
      <c r="G27" s="223"/>
      <c r="H27" s="223"/>
      <c r="R27" t="s">
        <v>216</v>
      </c>
      <c r="T27" s="7">
        <f>H20</f>
        <v>2208000</v>
      </c>
      <c r="U27" s="6">
        <f>K20</f>
        <v>0.08</v>
      </c>
      <c r="V27" s="163">
        <f>T27*U27/12</f>
        <v>14720</v>
      </c>
    </row>
    <row r="28" spans="1:27" x14ac:dyDescent="0.25">
      <c r="A28" s="146" t="s">
        <v>60</v>
      </c>
      <c r="B28" s="147">
        <f>+C28/C27</f>
        <v>0.11808424736458101</v>
      </c>
      <c r="C28" s="148">
        <f>+C10-C27</f>
        <v>374926.20000000019</v>
      </c>
      <c r="D28" s="148"/>
      <c r="E28" s="4">
        <f>C12*80%</f>
        <v>2208000</v>
      </c>
      <c r="F28" s="4">
        <f>+C17-E28+C19+C23+C22+C16</f>
        <v>942047.59999999986</v>
      </c>
      <c r="G28" s="223"/>
      <c r="H28" s="223"/>
      <c r="R28" t="s">
        <v>222</v>
      </c>
      <c r="T28">
        <v>1000000</v>
      </c>
      <c r="U28" s="6">
        <v>0.15</v>
      </c>
      <c r="V28">
        <f>U28*T28/12</f>
        <v>12500</v>
      </c>
    </row>
    <row r="29" spans="1:27" x14ac:dyDescent="0.25">
      <c r="A29" s="216" t="s">
        <v>223</v>
      </c>
      <c r="B29" s="217">
        <f>+C29/C8</f>
        <v>4.3267605633802816E-2</v>
      </c>
      <c r="C29" s="218">
        <f>L22</f>
        <v>153600</v>
      </c>
      <c r="D29" s="218"/>
      <c r="E29" s="224"/>
      <c r="F29" s="224"/>
      <c r="G29" s="225"/>
      <c r="H29" s="225"/>
      <c r="I29" s="11" t="e">
        <f>+#REF!/C6</f>
        <v>#REF!</v>
      </c>
      <c r="T29" t="s">
        <v>89</v>
      </c>
      <c r="V29" s="163">
        <f>SUM(V27:V28)</f>
        <v>27220</v>
      </c>
    </row>
    <row r="30" spans="1:27" x14ac:dyDescent="0.25">
      <c r="A30" t="s">
        <v>224</v>
      </c>
      <c r="B30" s="11">
        <f>+C30/C8</f>
        <v>2.0732394366197181E-2</v>
      </c>
      <c r="C30" s="4">
        <f>+G52</f>
        <v>73600</v>
      </c>
      <c r="D30" s="4"/>
      <c r="T30" t="s">
        <v>225</v>
      </c>
      <c r="V30" s="163">
        <f>V29/2</f>
        <v>13610</v>
      </c>
    </row>
    <row r="32" spans="1:27" x14ac:dyDescent="0.25">
      <c r="A32" s="215" t="s">
        <v>259</v>
      </c>
      <c r="B32" s="219">
        <f>+C32/C27</f>
        <v>6.9707419084243077E-2</v>
      </c>
      <c r="C32" s="220">
        <f>C28-C29</f>
        <v>221326.20000000019</v>
      </c>
      <c r="D32" s="220"/>
    </row>
    <row r="33" spans="1:9" x14ac:dyDescent="0.25">
      <c r="A33" s="215" t="s">
        <v>226</v>
      </c>
      <c r="B33" s="219">
        <f>C33/C27</f>
        <v>9.4903683813585757E-2</v>
      </c>
      <c r="C33" s="220">
        <f>C28-C30</f>
        <v>301326.20000000019</v>
      </c>
      <c r="D33" s="220"/>
    </row>
    <row r="34" spans="1:9" hidden="1" x14ac:dyDescent="0.25">
      <c r="A34" t="s">
        <v>227</v>
      </c>
    </row>
    <row r="35" spans="1:9" hidden="1" x14ac:dyDescent="0.25">
      <c r="A35" t="s">
        <v>222</v>
      </c>
      <c r="B35">
        <v>800000</v>
      </c>
      <c r="C35">
        <f>+((B35*12%)/12)*5</f>
        <v>40000</v>
      </c>
    </row>
    <row r="36" spans="1:9" hidden="1" x14ac:dyDescent="0.25">
      <c r="A36" t="s">
        <v>228</v>
      </c>
      <c r="B36">
        <v>10000</v>
      </c>
      <c r="C36">
        <v>50000</v>
      </c>
    </row>
    <row r="37" spans="1:9" hidden="1" x14ac:dyDescent="0.25">
      <c r="C37">
        <f>SUM(C35:C36)</f>
        <v>90000</v>
      </c>
    </row>
    <row r="38" spans="1:9" hidden="1" x14ac:dyDescent="0.25"/>
    <row r="41" spans="1:9" x14ac:dyDescent="0.25">
      <c r="C41" t="s">
        <v>229</v>
      </c>
      <c r="D41" t="s">
        <v>199</v>
      </c>
      <c r="E41" t="s">
        <v>230</v>
      </c>
      <c r="F41" t="s">
        <v>231</v>
      </c>
      <c r="G41" t="s">
        <v>232</v>
      </c>
      <c r="H41" t="s">
        <v>233</v>
      </c>
    </row>
    <row r="42" spans="1:9" x14ac:dyDescent="0.25">
      <c r="A42" t="s">
        <v>12</v>
      </c>
      <c r="C42" s="5">
        <f>H6</f>
        <v>200000</v>
      </c>
      <c r="D42" s="5"/>
      <c r="E42" s="11">
        <f>+((C42/850000)*0.45)*100%</f>
        <v>0.10588235294117647</v>
      </c>
      <c r="F42" s="11">
        <v>0.2</v>
      </c>
      <c r="G42" s="4">
        <f>C42*$C$76</f>
        <v>0</v>
      </c>
      <c r="I42" s="7">
        <f>(C42*F42/12)*3</f>
        <v>10000</v>
      </c>
    </row>
    <row r="43" spans="1:9" x14ac:dyDescent="0.25">
      <c r="A43" t="s">
        <v>11</v>
      </c>
      <c r="C43" s="7">
        <f>H11</f>
        <v>400000</v>
      </c>
      <c r="D43" s="7"/>
      <c r="E43" s="11">
        <f>+((C43/850000)*0.45)*100%</f>
        <v>0.21176470588235294</v>
      </c>
      <c r="F43" s="11">
        <v>0.2</v>
      </c>
      <c r="G43" s="4">
        <f>C43*$C$76</f>
        <v>0</v>
      </c>
      <c r="I43" s="7">
        <f>(C43*F43/12)*3</f>
        <v>20000</v>
      </c>
    </row>
    <row r="44" spans="1:9" x14ac:dyDescent="0.25">
      <c r="A44" t="s">
        <v>234</v>
      </c>
      <c r="C44">
        <v>200000</v>
      </c>
      <c r="E44" s="11">
        <f>+((C44/850000)*0.45)*100%</f>
        <v>0.10588235294117647</v>
      </c>
      <c r="F44" s="11">
        <v>0.2</v>
      </c>
      <c r="G44" s="4">
        <f>C44*$C$76</f>
        <v>0</v>
      </c>
      <c r="I44">
        <f>(C44*F44/12)*3</f>
        <v>10000</v>
      </c>
    </row>
    <row r="45" spans="1:9" x14ac:dyDescent="0.25">
      <c r="A45" t="s">
        <v>146</v>
      </c>
      <c r="E45" s="11">
        <f>+((C45/850000)*0.45)*100%</f>
        <v>0</v>
      </c>
      <c r="F45" s="11"/>
      <c r="G45" s="4"/>
    </row>
    <row r="46" spans="1:9" x14ac:dyDescent="0.25">
      <c r="A46" t="s">
        <v>318</v>
      </c>
      <c r="F46" s="11">
        <v>0.15</v>
      </c>
      <c r="H46">
        <f>(D46*F46/12)*3</f>
        <v>0</v>
      </c>
    </row>
    <row r="47" spans="1:9" x14ac:dyDescent="0.25">
      <c r="A47" t="s">
        <v>235</v>
      </c>
      <c r="F47" s="11">
        <v>0.15</v>
      </c>
      <c r="H47">
        <f>(D47*F47/12)*3</f>
        <v>0</v>
      </c>
    </row>
    <row r="48" spans="1:9" x14ac:dyDescent="0.25">
      <c r="A48" t="s">
        <v>236</v>
      </c>
      <c r="D48">
        <f>+H14</f>
        <v>150000</v>
      </c>
      <c r="F48" s="6">
        <v>0.15</v>
      </c>
      <c r="H48">
        <f>M14</f>
        <v>9375</v>
      </c>
      <c r="I48">
        <f>M14</f>
        <v>9375</v>
      </c>
    </row>
    <row r="49" spans="1:9" x14ac:dyDescent="0.25">
      <c r="E49" s="6"/>
      <c r="F49" s="6"/>
    </row>
    <row r="50" spans="1:9" x14ac:dyDescent="0.25">
      <c r="A50" t="s">
        <v>89</v>
      </c>
      <c r="C50" s="7">
        <f>SUM(C42:C48)</f>
        <v>800000</v>
      </c>
      <c r="D50" s="7">
        <f>SUM(D42:D48)</f>
        <v>150000</v>
      </c>
      <c r="E50" s="14">
        <f>SUM(E42:E47)</f>
        <v>0.42352941176470588</v>
      </c>
      <c r="F50" s="6"/>
      <c r="G50" s="4">
        <f>SUM(G42:G47)</f>
        <v>0</v>
      </c>
      <c r="H50" s="7">
        <f>SUM(H42:H48)</f>
        <v>9375</v>
      </c>
      <c r="I50" s="7">
        <f>SUM(I42:I49)</f>
        <v>49375</v>
      </c>
    </row>
    <row r="51" spans="1:9" x14ac:dyDescent="0.25">
      <c r="A51" t="s">
        <v>216</v>
      </c>
      <c r="C51" s="7">
        <f>+H20</f>
        <v>2208000</v>
      </c>
      <c r="D51" s="7"/>
      <c r="G51" s="5">
        <f>L20</f>
        <v>73600</v>
      </c>
    </row>
    <row r="52" spans="1:9" x14ac:dyDescent="0.25">
      <c r="A52" t="s">
        <v>89</v>
      </c>
      <c r="C52" s="7">
        <f>+C50+C51</f>
        <v>3008000</v>
      </c>
      <c r="D52" s="7"/>
      <c r="E52" s="221"/>
      <c r="F52" s="221"/>
      <c r="G52" s="4">
        <f>+G50+G51</f>
        <v>73600</v>
      </c>
    </row>
    <row r="53" spans="1:9" x14ac:dyDescent="0.25">
      <c r="C53" s="7"/>
      <c r="D53" s="7"/>
    </row>
    <row r="56" spans="1:9" x14ac:dyDescent="0.25">
      <c r="A56" t="s">
        <v>87</v>
      </c>
    </row>
    <row r="57" spans="1:9" x14ac:dyDescent="0.25">
      <c r="A57" t="s">
        <v>244</v>
      </c>
      <c r="B57" s="5">
        <f>C6</f>
        <v>1775000</v>
      </c>
    </row>
    <row r="58" spans="1:9" x14ac:dyDescent="0.25">
      <c r="A58" t="s">
        <v>245</v>
      </c>
      <c r="B58" s="163">
        <f>-B57*1.5%</f>
        <v>-26625</v>
      </c>
    </row>
    <row r="59" spans="1:9" x14ac:dyDescent="0.25">
      <c r="A59" t="s">
        <v>246</v>
      </c>
      <c r="B59" s="7">
        <f>-(B57-($C$12/2))*10%</f>
        <v>-39500</v>
      </c>
    </row>
    <row r="60" spans="1:9" x14ac:dyDescent="0.25">
      <c r="A60" t="s">
        <v>192</v>
      </c>
      <c r="B60">
        <v>-5000</v>
      </c>
    </row>
    <row r="61" spans="1:9" x14ac:dyDescent="0.25">
      <c r="A61" t="s">
        <v>247</v>
      </c>
      <c r="B61" s="5">
        <f>-1670000-9125-13253-2647-8850</f>
        <v>-1703875</v>
      </c>
    </row>
    <row r="62" spans="1:9" x14ac:dyDescent="0.25">
      <c r="A62" t="s">
        <v>248</v>
      </c>
      <c r="B62" s="7">
        <f>SUM(B57:B61)</f>
        <v>0</v>
      </c>
    </row>
    <row r="63" spans="1:9" x14ac:dyDescent="0.25">
      <c r="B63" s="7"/>
    </row>
    <row r="64" spans="1:9" x14ac:dyDescent="0.25">
      <c r="A64" t="s">
        <v>249</v>
      </c>
      <c r="B64" s="7">
        <f>C51+B61</f>
        <v>504125</v>
      </c>
    </row>
    <row r="65" spans="1:3" x14ac:dyDescent="0.25">
      <c r="B65" s="7"/>
    </row>
    <row r="66" spans="1:3" x14ac:dyDescent="0.25">
      <c r="A66" t="s">
        <v>88</v>
      </c>
    </row>
    <row r="67" spans="1:3" x14ac:dyDescent="0.25">
      <c r="A67" t="s">
        <v>251</v>
      </c>
      <c r="B67" s="5">
        <v>1800000</v>
      </c>
    </row>
    <row r="68" spans="1:3" x14ac:dyDescent="0.25">
      <c r="A68" t="s">
        <v>252</v>
      </c>
      <c r="B68" s="7">
        <f>-B67*1.5%</f>
        <v>-27000</v>
      </c>
    </row>
    <row r="69" spans="1:3" x14ac:dyDescent="0.25">
      <c r="A69" t="s">
        <v>253</v>
      </c>
      <c r="B69" s="7">
        <f>-(B67-($C$12/2))*10%</f>
        <v>-42000</v>
      </c>
    </row>
    <row r="70" spans="1:3" x14ac:dyDescent="0.25">
      <c r="A70" t="s">
        <v>192</v>
      </c>
      <c r="B70">
        <v>-5000</v>
      </c>
    </row>
    <row r="71" spans="1:3" x14ac:dyDescent="0.25">
      <c r="A71" t="s">
        <v>254</v>
      </c>
      <c r="B71" s="7">
        <f>-B64</f>
        <v>-504125</v>
      </c>
    </row>
    <row r="73" spans="1:3" x14ac:dyDescent="0.25">
      <c r="A73" t="s">
        <v>104</v>
      </c>
      <c r="B73" s="7">
        <f>SUM(B67:B72)</f>
        <v>1221875</v>
      </c>
    </row>
    <row r="75" spans="1:3" x14ac:dyDescent="0.25">
      <c r="A75" t="s">
        <v>255</v>
      </c>
      <c r="B75" s="7">
        <f>B73-C50-D50</f>
        <v>271875</v>
      </c>
    </row>
    <row r="76" spans="1:3" x14ac:dyDescent="0.25">
      <c r="A76" t="s">
        <v>256</v>
      </c>
      <c r="B76" s="163">
        <f>B75*E50</f>
        <v>115147.05882352941</v>
      </c>
      <c r="C76" s="11"/>
    </row>
    <row r="77" spans="1:3" x14ac:dyDescent="0.25">
      <c r="A77" t="s">
        <v>257</v>
      </c>
      <c r="B77" s="163">
        <f>B75-B76-H50</f>
        <v>147352.9411764706</v>
      </c>
    </row>
    <row r="78" spans="1:3" x14ac:dyDescent="0.25">
      <c r="A78" t="s">
        <v>258</v>
      </c>
      <c r="B78">
        <f>-SUM(H46:H48)</f>
        <v>-9375</v>
      </c>
    </row>
  </sheetData>
  <mergeCells count="1">
    <mergeCell ref="A1:C1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2D670-E02C-44E5-896B-9ABF624D5075}">
  <dimension ref="A1:I26"/>
  <sheetViews>
    <sheetView tabSelected="1" workbookViewId="0">
      <selection activeCell="J24" sqref="J24"/>
    </sheetView>
  </sheetViews>
  <sheetFormatPr defaultRowHeight="15" x14ac:dyDescent="0.25"/>
  <cols>
    <col min="1" max="1" width="26.140625" style="117" customWidth="1"/>
    <col min="2" max="2" width="11.85546875" customWidth="1"/>
    <col min="3" max="4" width="14.28515625" bestFit="1" customWidth="1"/>
    <col min="5" max="6" width="12.28515625" customWidth="1"/>
    <col min="7" max="7" width="3.140625" customWidth="1"/>
    <col min="8" max="8" width="10.5703125" bestFit="1" customWidth="1"/>
  </cols>
  <sheetData>
    <row r="1" spans="1:9" x14ac:dyDescent="0.25">
      <c r="A1" s="92" t="s">
        <v>13</v>
      </c>
      <c r="B1" s="93" t="s">
        <v>14</v>
      </c>
      <c r="C1" s="93">
        <v>2</v>
      </c>
      <c r="D1" s="93">
        <v>3</v>
      </c>
      <c r="E1" s="93">
        <v>4</v>
      </c>
      <c r="F1" s="93">
        <v>5</v>
      </c>
    </row>
    <row r="2" spans="1:9" x14ac:dyDescent="0.25">
      <c r="A2" s="92" t="s">
        <v>15</v>
      </c>
      <c r="B2" s="93">
        <v>2026</v>
      </c>
      <c r="C2" s="93">
        <v>2027</v>
      </c>
      <c r="D2" s="93">
        <v>2028</v>
      </c>
      <c r="E2" s="93">
        <v>2029</v>
      </c>
      <c r="F2" s="93">
        <v>2030</v>
      </c>
    </row>
    <row r="3" spans="1:9" x14ac:dyDescent="0.25">
      <c r="A3" s="94" t="s">
        <v>16</v>
      </c>
      <c r="B3" s="95"/>
      <c r="C3" s="96">
        <v>0.2318840579710145</v>
      </c>
      <c r="D3" s="95">
        <v>0.05</v>
      </c>
      <c r="E3" s="95">
        <v>0.05</v>
      </c>
      <c r="F3" s="95">
        <v>0.05</v>
      </c>
    </row>
    <row r="4" spans="1:9" x14ac:dyDescent="0.25">
      <c r="A4" s="94" t="s">
        <v>1</v>
      </c>
      <c r="B4" s="97">
        <v>2760000</v>
      </c>
      <c r="C4" s="97">
        <v>3400000</v>
      </c>
      <c r="D4" s="97">
        <v>3570000</v>
      </c>
      <c r="E4" s="97">
        <v>3748500</v>
      </c>
      <c r="F4" s="97">
        <v>3935925</v>
      </c>
      <c r="H4" s="91"/>
    </row>
    <row r="5" spans="1:9" x14ac:dyDescent="0.25">
      <c r="A5" s="94"/>
      <c r="B5" s="98"/>
      <c r="C5" s="98"/>
      <c r="D5" s="98"/>
      <c r="E5" s="98"/>
      <c r="F5" s="98"/>
      <c r="H5" s="91"/>
    </row>
    <row r="6" spans="1:9" x14ac:dyDescent="0.25">
      <c r="A6" s="94"/>
      <c r="B6" s="98"/>
      <c r="C6" s="98"/>
      <c r="D6" s="98"/>
      <c r="E6" s="98"/>
      <c r="F6" s="98"/>
      <c r="H6" s="91"/>
    </row>
    <row r="7" spans="1:9" x14ac:dyDescent="0.25">
      <c r="A7" s="99" t="s">
        <v>17</v>
      </c>
      <c r="B7" s="100"/>
      <c r="C7" s="101">
        <v>2.5641025641025661E-2</v>
      </c>
      <c r="D7" s="101">
        <v>4.8780487804878092E-2</v>
      </c>
      <c r="E7" s="101">
        <v>4.6511627906976716E-2</v>
      </c>
      <c r="F7" s="101">
        <v>4.4444444444444398E-2</v>
      </c>
    </row>
    <row r="8" spans="1:9" x14ac:dyDescent="0.25">
      <c r="A8" s="99" t="s">
        <v>18</v>
      </c>
      <c r="B8" s="102">
        <v>10</v>
      </c>
      <c r="C8" s="102">
        <v>10</v>
      </c>
      <c r="D8" s="102">
        <v>10</v>
      </c>
      <c r="E8" s="102">
        <v>10</v>
      </c>
      <c r="F8" s="102">
        <v>10</v>
      </c>
    </row>
    <row r="9" spans="1:9" x14ac:dyDescent="0.25">
      <c r="A9" s="99" t="s">
        <v>19</v>
      </c>
      <c r="B9" s="103">
        <v>380</v>
      </c>
      <c r="C9" s="103">
        <v>390</v>
      </c>
      <c r="D9" s="103">
        <v>410</v>
      </c>
      <c r="E9" s="103">
        <v>430</v>
      </c>
      <c r="F9" s="103">
        <v>450</v>
      </c>
    </row>
    <row r="10" spans="1:9" x14ac:dyDescent="0.25">
      <c r="A10" s="99" t="s">
        <v>20</v>
      </c>
      <c r="B10" s="104">
        <v>20</v>
      </c>
      <c r="C10" s="102">
        <v>50</v>
      </c>
      <c r="D10" s="102">
        <v>50</v>
      </c>
      <c r="E10" s="102">
        <v>50</v>
      </c>
      <c r="F10" s="102">
        <v>50</v>
      </c>
      <c r="I10" s="5"/>
    </row>
    <row r="11" spans="1:9" x14ac:dyDescent="0.25">
      <c r="A11" s="92" t="s">
        <v>21</v>
      </c>
      <c r="B11" s="105"/>
      <c r="C11" s="106"/>
      <c r="D11" s="106"/>
      <c r="E11" s="106"/>
      <c r="F11" s="106"/>
      <c r="I11" s="5"/>
    </row>
    <row r="12" spans="1:9" x14ac:dyDescent="0.25">
      <c r="A12" s="94" t="s">
        <v>22</v>
      </c>
      <c r="B12" s="107">
        <v>76000</v>
      </c>
      <c r="C12" s="107">
        <v>195000</v>
      </c>
      <c r="D12" s="107">
        <v>205000</v>
      </c>
      <c r="E12" s="107">
        <v>215000</v>
      </c>
      <c r="F12" s="107">
        <v>225000</v>
      </c>
    </row>
    <row r="13" spans="1:9" x14ac:dyDescent="0.25">
      <c r="A13" s="99" t="s">
        <v>23</v>
      </c>
      <c r="B13" s="108"/>
      <c r="C13" s="108"/>
      <c r="D13" s="108"/>
      <c r="E13" s="108"/>
      <c r="F13" s="109"/>
    </row>
    <row r="14" spans="1:9" x14ac:dyDescent="0.25">
      <c r="A14" s="94" t="s">
        <v>24</v>
      </c>
      <c r="B14" s="110">
        <v>6349.9999999999991</v>
      </c>
      <c r="C14" s="110">
        <v>12720</v>
      </c>
      <c r="D14" s="110">
        <v>12780</v>
      </c>
      <c r="E14" s="110">
        <v>13163.400000000003</v>
      </c>
      <c r="F14" s="110">
        <v>13558.92</v>
      </c>
    </row>
    <row r="15" spans="1:9" x14ac:dyDescent="0.25">
      <c r="A15" s="94" t="s">
        <v>25</v>
      </c>
      <c r="B15" s="110">
        <v>2500</v>
      </c>
      <c r="C15" s="110">
        <v>5000</v>
      </c>
      <c r="D15" s="110">
        <v>5500</v>
      </c>
      <c r="E15" s="110">
        <v>6000</v>
      </c>
      <c r="F15" s="110">
        <v>6500</v>
      </c>
    </row>
    <row r="16" spans="1:9" x14ac:dyDescent="0.25">
      <c r="A16" s="94" t="s">
        <v>26</v>
      </c>
      <c r="B16" s="110">
        <v>2000</v>
      </c>
      <c r="C16" s="110">
        <v>6180</v>
      </c>
      <c r="D16" s="110">
        <v>7000</v>
      </c>
      <c r="E16" s="110">
        <v>7500</v>
      </c>
      <c r="F16" s="110">
        <v>8000</v>
      </c>
    </row>
    <row r="17" spans="1:9" x14ac:dyDescent="0.25">
      <c r="A17" s="94" t="s">
        <v>27</v>
      </c>
      <c r="B17" s="110">
        <v>4032</v>
      </c>
      <c r="C17" s="110">
        <v>10710</v>
      </c>
      <c r="D17" s="110">
        <v>11811.599999999997</v>
      </c>
      <c r="E17" s="110">
        <v>12393.000000000002</v>
      </c>
      <c r="F17" s="110">
        <v>13005</v>
      </c>
    </row>
    <row r="18" spans="1:9" x14ac:dyDescent="0.25">
      <c r="A18" s="94" t="s">
        <v>28</v>
      </c>
      <c r="B18" s="110">
        <v>5000</v>
      </c>
      <c r="C18" s="110">
        <v>2500</v>
      </c>
      <c r="D18" s="110">
        <v>3000</v>
      </c>
      <c r="E18" s="110">
        <v>3500</v>
      </c>
      <c r="F18" s="110">
        <v>4000</v>
      </c>
    </row>
    <row r="19" spans="1:9" x14ac:dyDescent="0.25">
      <c r="A19" s="94" t="s">
        <v>29</v>
      </c>
      <c r="B19" s="110">
        <v>0</v>
      </c>
      <c r="C19" s="110">
        <v>29500</v>
      </c>
      <c r="D19" s="110">
        <v>30000</v>
      </c>
      <c r="E19" s="110">
        <v>30500</v>
      </c>
      <c r="F19" s="110">
        <v>31000</v>
      </c>
    </row>
    <row r="20" spans="1:9" x14ac:dyDescent="0.25">
      <c r="A20" s="94" t="s">
        <v>30</v>
      </c>
      <c r="B20" s="110">
        <v>2000</v>
      </c>
      <c r="C20" s="110">
        <v>1000</v>
      </c>
      <c r="D20" s="110">
        <v>1000</v>
      </c>
      <c r="E20" s="110">
        <v>1000</v>
      </c>
      <c r="F20" s="110">
        <v>1000</v>
      </c>
    </row>
    <row r="21" spans="1:9" x14ac:dyDescent="0.25">
      <c r="A21" s="94" t="s">
        <v>31</v>
      </c>
      <c r="B21" s="110">
        <v>2000</v>
      </c>
      <c r="C21" s="110">
        <v>0</v>
      </c>
      <c r="D21" s="110">
        <v>0</v>
      </c>
      <c r="E21" s="110">
        <v>0</v>
      </c>
      <c r="F21" s="110"/>
    </row>
    <row r="22" spans="1:9" x14ac:dyDescent="0.25">
      <c r="A22" s="94" t="s">
        <v>32</v>
      </c>
      <c r="B22" s="110">
        <v>23882</v>
      </c>
      <c r="C22" s="110">
        <v>67610</v>
      </c>
      <c r="D22" s="110">
        <v>71091.600000000006</v>
      </c>
      <c r="E22" s="110">
        <v>74056.399999999994</v>
      </c>
      <c r="F22" s="110">
        <v>77063.92</v>
      </c>
    </row>
    <row r="23" spans="1:9" x14ac:dyDescent="0.25">
      <c r="A23" s="111" t="s">
        <v>33</v>
      </c>
      <c r="B23" s="112">
        <v>52118</v>
      </c>
      <c r="C23" s="112">
        <v>127390</v>
      </c>
      <c r="D23" s="112">
        <v>133908.4</v>
      </c>
      <c r="E23" s="112">
        <v>140943.6</v>
      </c>
      <c r="F23" s="112">
        <v>147936.08000000002</v>
      </c>
    </row>
    <row r="24" spans="1:9" ht="23.25" x14ac:dyDescent="0.25">
      <c r="A24" s="113" t="s">
        <v>34</v>
      </c>
      <c r="B24" s="114">
        <v>57959.999999999993</v>
      </c>
      <c r="C24" s="114">
        <v>115919.99999999999</v>
      </c>
      <c r="D24" s="114">
        <v>115919.99999999999</v>
      </c>
      <c r="E24" s="114">
        <v>115919.99999999999</v>
      </c>
      <c r="F24" s="114">
        <v>115919.99999999999</v>
      </c>
      <c r="I24" s="90"/>
    </row>
    <row r="25" spans="1:9" x14ac:dyDescent="0.25">
      <c r="A25" s="92" t="s">
        <v>35</v>
      </c>
      <c r="B25" s="115">
        <v>-5841.9999999999927</v>
      </c>
      <c r="C25" s="115">
        <v>11470.000000000015</v>
      </c>
      <c r="D25" s="115">
        <v>17988.400000000009</v>
      </c>
      <c r="E25" s="115">
        <v>25023.60000000002</v>
      </c>
      <c r="F25" s="115">
        <v>32016.080000000031</v>
      </c>
    </row>
    <row r="26" spans="1:9" x14ac:dyDescent="0.25">
      <c r="A26" s="94" t="s">
        <v>36</v>
      </c>
      <c r="B26" s="116">
        <v>3.7766666666666664E-2</v>
      </c>
      <c r="C26" s="116">
        <v>7.4935294117647058E-2</v>
      </c>
      <c r="D26" s="116">
        <v>7.5018711484593839E-2</v>
      </c>
      <c r="E26" s="116">
        <v>7.5200000000000003E-2</v>
      </c>
      <c r="F26" s="116">
        <v>7.5172204754917843E-2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762B8-687D-4B83-B2DA-5A903DD8E3FA}">
  <dimension ref="A1:W143"/>
  <sheetViews>
    <sheetView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49" sqref="B49"/>
    </sheetView>
  </sheetViews>
  <sheetFormatPr defaultRowHeight="15" x14ac:dyDescent="0.25"/>
  <cols>
    <col min="1" max="1" width="17.5703125" customWidth="1"/>
    <col min="2" max="2" width="10" customWidth="1"/>
    <col min="3" max="3" width="11.85546875" customWidth="1"/>
    <col min="4" max="5" width="12.28515625" bestFit="1" customWidth="1"/>
    <col min="6" max="7" width="12.28515625" customWidth="1"/>
    <col min="8" max="8" width="10" bestFit="1" customWidth="1"/>
    <col min="9" max="9" width="12.7109375" bestFit="1" customWidth="1"/>
    <col min="10" max="11" width="11" customWidth="1"/>
    <col min="12" max="12" width="15.85546875" customWidth="1"/>
    <col min="13" max="13" width="14.85546875" customWidth="1"/>
    <col min="14" max="14" width="14.7109375" bestFit="1" customWidth="1"/>
    <col min="15" max="15" width="11.7109375" customWidth="1"/>
    <col min="16" max="16" width="13" bestFit="1" customWidth="1"/>
    <col min="17" max="17" width="13" customWidth="1"/>
    <col min="18" max="18" width="10.140625" customWidth="1"/>
    <col min="19" max="19" width="13" customWidth="1"/>
    <col min="20" max="20" width="13.140625" customWidth="1"/>
    <col min="21" max="23" width="13.85546875" customWidth="1"/>
    <col min="24" max="24" width="12.7109375" bestFit="1" customWidth="1"/>
  </cols>
  <sheetData>
    <row r="1" spans="1:21" x14ac:dyDescent="0.25">
      <c r="D1" s="5"/>
    </row>
    <row r="2" spans="1:21" ht="15.75" thickBot="1" x14ac:dyDescent="0.3">
      <c r="A2" t="s">
        <v>79</v>
      </c>
      <c r="C2">
        <v>1</v>
      </c>
      <c r="D2">
        <v>2</v>
      </c>
      <c r="E2">
        <v>3</v>
      </c>
      <c r="F2">
        <v>4</v>
      </c>
      <c r="G2">
        <v>5</v>
      </c>
    </row>
    <row r="3" spans="1:21" x14ac:dyDescent="0.25">
      <c r="A3" s="16" t="s">
        <v>80</v>
      </c>
      <c r="B3" s="17"/>
      <c r="C3" s="17"/>
      <c r="D3" s="36">
        <v>0.05</v>
      </c>
      <c r="E3" s="36">
        <v>0.05</v>
      </c>
      <c r="F3" s="36">
        <v>0.05</v>
      </c>
      <c r="G3" s="36">
        <v>0.05</v>
      </c>
      <c r="H3" s="36">
        <f t="shared" ref="H3:I3" si="0">(H5/G5)-100%</f>
        <v>-0.9050727913701675</v>
      </c>
      <c r="I3" s="36">
        <f t="shared" si="0"/>
        <v>0.25</v>
      </c>
    </row>
    <row r="4" spans="1:21" x14ac:dyDescent="0.25">
      <c r="A4" s="159" t="s">
        <v>94</v>
      </c>
      <c r="B4" s="160"/>
      <c r="C4" s="160">
        <v>270</v>
      </c>
      <c r="D4" s="162">
        <f>+C4*(100%+D3)</f>
        <v>283.5</v>
      </c>
      <c r="E4" s="162">
        <f t="shared" ref="E4:G4" si="1">+D4*(100%+E3)</f>
        <v>297.67500000000001</v>
      </c>
      <c r="F4" s="162">
        <f t="shared" si="1"/>
        <v>312.55875000000003</v>
      </c>
      <c r="G4" s="162">
        <f t="shared" si="1"/>
        <v>328.18668750000006</v>
      </c>
      <c r="H4" s="161"/>
      <c r="I4" s="161"/>
    </row>
    <row r="5" spans="1:21" x14ac:dyDescent="0.25">
      <c r="A5" s="41" t="s">
        <v>81</v>
      </c>
      <c r="B5" s="42"/>
      <c r="C5" s="43">
        <f>+C4*10*52</f>
        <v>140400</v>
      </c>
      <c r="D5" s="43">
        <f t="shared" ref="D5:G5" si="2">+D4*10*52</f>
        <v>147420</v>
      </c>
      <c r="E5" s="43">
        <f t="shared" si="2"/>
        <v>154791</v>
      </c>
      <c r="F5" s="43">
        <f t="shared" si="2"/>
        <v>162530.55000000002</v>
      </c>
      <c r="G5" s="43">
        <f t="shared" si="2"/>
        <v>170657.07750000004</v>
      </c>
      <c r="H5" s="43">
        <f>'Cash Flow FY4'!D21</f>
        <v>16200</v>
      </c>
      <c r="I5" s="43">
        <f>'Cash Flow FY4'!E21</f>
        <v>20250</v>
      </c>
    </row>
    <row r="6" spans="1:21" x14ac:dyDescent="0.25">
      <c r="A6" s="22" t="s">
        <v>23</v>
      </c>
      <c r="B6" s="8" t="s">
        <v>95</v>
      </c>
      <c r="C6" s="181">
        <f>C5/2760000</f>
        <v>5.0869565217391305E-2</v>
      </c>
      <c r="D6" s="181">
        <f t="shared" ref="D6:G6" si="3">D5/2760000</f>
        <v>5.3413043478260869E-2</v>
      </c>
      <c r="E6" s="181">
        <f t="shared" si="3"/>
        <v>5.6083695652173915E-2</v>
      </c>
      <c r="F6" s="181">
        <f t="shared" si="3"/>
        <v>5.8887880434782616E-2</v>
      </c>
      <c r="G6" s="181">
        <f t="shared" si="3"/>
        <v>6.1832274456521757E-2</v>
      </c>
      <c r="H6" s="40"/>
      <c r="I6" s="25"/>
    </row>
    <row r="7" spans="1:21" x14ac:dyDescent="0.25">
      <c r="A7" s="22" t="s">
        <v>82</v>
      </c>
      <c r="B7" s="15">
        <v>6.5000000000000002E-2</v>
      </c>
      <c r="C7" s="44">
        <f>(2760000*70%*$B7)</f>
        <v>125579.99999999999</v>
      </c>
      <c r="D7" s="44">
        <f t="shared" ref="D7:G7" si="4">(2760000*70%*$B7)</f>
        <v>125579.99999999999</v>
      </c>
      <c r="E7" s="44">
        <f t="shared" si="4"/>
        <v>125579.99999999999</v>
      </c>
      <c r="F7" s="44">
        <f t="shared" si="4"/>
        <v>125579.99999999999</v>
      </c>
      <c r="G7" s="44">
        <f t="shared" si="4"/>
        <v>125579.99999999999</v>
      </c>
      <c r="H7" s="44">
        <f t="shared" ref="H7:I7" si="5">+G7*(100%+$B$7)</f>
        <v>133742.69999999998</v>
      </c>
      <c r="I7" s="45">
        <f t="shared" si="5"/>
        <v>142435.97549999997</v>
      </c>
    </row>
    <row r="8" spans="1:21" x14ac:dyDescent="0.25">
      <c r="H8" s="44">
        <f>+G18*(100%+$B18)</f>
        <v>8400</v>
      </c>
      <c r="I8" s="45">
        <f>+H8*(100%+$B18)</f>
        <v>8400</v>
      </c>
    </row>
    <row r="9" spans="1:21" x14ac:dyDescent="0.25">
      <c r="A9" s="22"/>
      <c r="B9" s="13"/>
      <c r="C9" s="8"/>
      <c r="D9" s="44"/>
      <c r="E9" s="44"/>
      <c r="F9" s="44"/>
      <c r="G9" s="44"/>
      <c r="H9" s="44"/>
      <c r="I9" s="45"/>
    </row>
    <row r="10" spans="1:21" x14ac:dyDescent="0.25">
      <c r="A10" s="22" t="s">
        <v>96</v>
      </c>
      <c r="B10" s="13"/>
      <c r="C10" s="8">
        <f>SUM(C7:C9)</f>
        <v>125579.99999999999</v>
      </c>
      <c r="D10" s="44">
        <f>SUM(D7:D9)</f>
        <v>125579.99999999999</v>
      </c>
      <c r="E10" s="44">
        <f>SUM(E7:E9)</f>
        <v>125579.99999999999</v>
      </c>
      <c r="F10" s="44">
        <f>SUM(F7:F9)</f>
        <v>125579.99999999999</v>
      </c>
      <c r="G10" s="44">
        <f>SUM(G7:G9)</f>
        <v>125579.99999999999</v>
      </c>
      <c r="H10" s="44"/>
      <c r="I10" s="45"/>
    </row>
    <row r="11" spans="1:21" x14ac:dyDescent="0.25">
      <c r="A11" s="22" t="s">
        <v>35</v>
      </c>
      <c r="B11" s="13"/>
      <c r="C11" s="39">
        <f>+C5-C10</f>
        <v>14820.000000000015</v>
      </c>
      <c r="D11" s="39">
        <f>+D5-D10</f>
        <v>21840.000000000015</v>
      </c>
      <c r="E11" s="39">
        <f>+E5-E10</f>
        <v>29211.000000000015</v>
      </c>
      <c r="F11" s="39">
        <f>+F5-F10</f>
        <v>36950.550000000032</v>
      </c>
      <c r="G11" s="39">
        <f>+G5-G10</f>
        <v>45077.077500000058</v>
      </c>
      <c r="H11" s="44"/>
      <c r="I11" s="45"/>
    </row>
    <row r="12" spans="1:21" x14ac:dyDescent="0.25">
      <c r="A12" s="22"/>
      <c r="B12" s="13"/>
      <c r="C12" s="8"/>
      <c r="D12" s="44"/>
      <c r="E12" s="44"/>
      <c r="F12" s="44"/>
      <c r="G12" s="44"/>
      <c r="H12" s="44"/>
      <c r="I12" s="45"/>
      <c r="L12" t="s">
        <v>97</v>
      </c>
      <c r="M12" s="7">
        <f>70%*M15</f>
        <v>1931999.9999999998</v>
      </c>
      <c r="N12" s="7">
        <f>N15*70%</f>
        <v>2240000</v>
      </c>
      <c r="O12" s="7"/>
      <c r="P12" s="7">
        <f t="shared" ref="P12:U12" si="6">P15*70%</f>
        <v>2450000</v>
      </c>
      <c r="Q12" s="7"/>
      <c r="R12" s="7">
        <f t="shared" si="6"/>
        <v>2800000</v>
      </c>
      <c r="S12" s="7"/>
      <c r="T12" s="7">
        <f t="shared" si="6"/>
        <v>3150000</v>
      </c>
      <c r="U12" s="7">
        <f t="shared" si="6"/>
        <v>3500000</v>
      </c>
    </row>
    <row r="13" spans="1:21" x14ac:dyDescent="0.25">
      <c r="A13" s="27" t="s">
        <v>98</v>
      </c>
      <c r="B13" s="13"/>
      <c r="C13" s="8"/>
      <c r="D13" s="44"/>
      <c r="E13" s="44"/>
      <c r="F13" s="44"/>
      <c r="G13" s="44"/>
      <c r="H13" s="44"/>
      <c r="I13" s="45"/>
      <c r="L13" t="s">
        <v>99</v>
      </c>
      <c r="N13">
        <v>1</v>
      </c>
      <c r="P13">
        <v>2</v>
      </c>
      <c r="R13">
        <v>3</v>
      </c>
      <c r="T13">
        <v>5</v>
      </c>
      <c r="U13">
        <v>6</v>
      </c>
    </row>
    <row r="14" spans="1:21" x14ac:dyDescent="0.25">
      <c r="A14" s="22" t="s">
        <v>24</v>
      </c>
      <c r="B14" s="13"/>
      <c r="C14" s="44">
        <v>12720</v>
      </c>
      <c r="D14" s="44">
        <v>12720</v>
      </c>
      <c r="E14" s="44">
        <v>12780</v>
      </c>
      <c r="F14" s="44">
        <v>13163.400000000003</v>
      </c>
      <c r="G14" s="44">
        <v>15600</v>
      </c>
      <c r="H14" s="44">
        <f t="shared" ref="H14:I16" si="7">+G14*(100%+$B14)</f>
        <v>15600</v>
      </c>
      <c r="I14" s="45">
        <f t="shared" si="7"/>
        <v>15600</v>
      </c>
      <c r="L14" s="183" t="s">
        <v>10</v>
      </c>
      <c r="M14" s="5">
        <v>850000</v>
      </c>
      <c r="N14">
        <v>850000</v>
      </c>
      <c r="P14">
        <v>850000</v>
      </c>
      <c r="R14">
        <v>850000</v>
      </c>
      <c r="T14">
        <v>850000</v>
      </c>
      <c r="U14">
        <v>850000</v>
      </c>
    </row>
    <row r="15" spans="1:21" x14ac:dyDescent="0.25">
      <c r="A15" s="22" t="s">
        <v>83</v>
      </c>
      <c r="B15" s="13"/>
      <c r="C15" s="44">
        <f>300*12</f>
        <v>3600</v>
      </c>
      <c r="D15" s="44">
        <f>300*12</f>
        <v>3600</v>
      </c>
      <c r="E15" s="44">
        <f t="shared" ref="E15:G15" si="8">300*12</f>
        <v>3600</v>
      </c>
      <c r="F15" s="44">
        <f t="shared" si="8"/>
        <v>3600</v>
      </c>
      <c r="G15" s="44">
        <f t="shared" si="8"/>
        <v>3600</v>
      </c>
      <c r="H15" s="44">
        <f t="shared" si="7"/>
        <v>3600</v>
      </c>
      <c r="I15" s="45">
        <f t="shared" si="7"/>
        <v>3600</v>
      </c>
      <c r="L15" t="s">
        <v>100</v>
      </c>
      <c r="M15" s="5">
        <v>2760000</v>
      </c>
      <c r="N15" s="5">
        <v>3200000</v>
      </c>
      <c r="O15" s="5"/>
      <c r="P15" s="5">
        <v>3500000</v>
      </c>
      <c r="Q15" s="5"/>
      <c r="R15" s="5">
        <v>4000000</v>
      </c>
      <c r="S15" s="5"/>
      <c r="T15" s="5">
        <v>4500000</v>
      </c>
      <c r="U15" s="5">
        <v>5000000</v>
      </c>
    </row>
    <row r="16" spans="1:21" x14ac:dyDescent="0.25">
      <c r="A16" s="22" t="s">
        <v>26</v>
      </c>
      <c r="B16" s="13"/>
      <c r="C16" s="44">
        <v>5000</v>
      </c>
      <c r="D16" s="44">
        <v>5000</v>
      </c>
      <c r="E16" s="44">
        <v>5000</v>
      </c>
      <c r="F16" s="44">
        <v>6180</v>
      </c>
      <c r="G16" s="44">
        <v>6180</v>
      </c>
      <c r="H16" s="44">
        <f t="shared" si="7"/>
        <v>6180</v>
      </c>
      <c r="I16" s="45">
        <f t="shared" si="7"/>
        <v>6180</v>
      </c>
      <c r="L16" t="s">
        <v>10</v>
      </c>
      <c r="M16" s="6">
        <v>0.45</v>
      </c>
      <c r="N16" s="6">
        <v>0.45</v>
      </c>
      <c r="O16" s="6"/>
      <c r="P16" s="6">
        <v>0.45</v>
      </c>
      <c r="Q16" s="6"/>
      <c r="R16" s="6">
        <v>0.45</v>
      </c>
      <c r="S16" s="6"/>
      <c r="T16" s="6">
        <v>0.45</v>
      </c>
      <c r="U16" s="6">
        <v>0.45</v>
      </c>
    </row>
    <row r="17" spans="1:23" x14ac:dyDescent="0.25">
      <c r="A17" s="22" t="s">
        <v>101</v>
      </c>
      <c r="B17" s="8"/>
      <c r="C17" s="8">
        <f>+(200*12)+1000</f>
        <v>3400</v>
      </c>
      <c r="D17" s="8">
        <f t="shared" ref="D17:I19" si="9">+(200*12)+1000</f>
        <v>3400</v>
      </c>
      <c r="E17" s="8">
        <f t="shared" si="9"/>
        <v>3400</v>
      </c>
      <c r="F17" s="8">
        <f t="shared" si="9"/>
        <v>3400</v>
      </c>
      <c r="G17" s="8">
        <f t="shared" si="9"/>
        <v>3400</v>
      </c>
      <c r="H17" s="44">
        <f>'Cash Flow FY4'!D7</f>
        <v>972</v>
      </c>
      <c r="I17" s="44">
        <f>'Cash Flow FY4'!E7</f>
        <v>1215</v>
      </c>
      <c r="J17" s="183"/>
      <c r="K17" s="183"/>
      <c r="L17" t="s">
        <v>102</v>
      </c>
      <c r="M17" s="7">
        <f t="shared" ref="M17:U17" si="10">M16*M15</f>
        <v>1242000</v>
      </c>
      <c r="N17" s="150">
        <f t="shared" si="10"/>
        <v>1440000</v>
      </c>
      <c r="O17" s="150"/>
      <c r="P17" s="150">
        <f t="shared" si="10"/>
        <v>1575000</v>
      </c>
      <c r="Q17" s="150"/>
      <c r="R17" s="150">
        <f t="shared" si="10"/>
        <v>1800000</v>
      </c>
      <c r="S17" s="150"/>
      <c r="T17" s="150">
        <f t="shared" si="10"/>
        <v>2025000</v>
      </c>
      <c r="U17" s="150">
        <f t="shared" si="10"/>
        <v>2250000</v>
      </c>
    </row>
    <row r="18" spans="1:23" x14ac:dyDescent="0.25">
      <c r="A18" s="22" t="s">
        <v>25</v>
      </c>
      <c r="B18" s="13"/>
      <c r="C18" s="8">
        <v>12000</v>
      </c>
      <c r="D18" s="44">
        <v>12000</v>
      </c>
      <c r="E18" s="44">
        <v>7800</v>
      </c>
      <c r="F18" s="44">
        <v>8400</v>
      </c>
      <c r="G18" s="44">
        <v>8400</v>
      </c>
      <c r="H18" s="44">
        <f>'Cash Flow FY4'!D8</f>
        <v>0</v>
      </c>
      <c r="I18" s="44">
        <f>'Cash Flow FY4'!E8</f>
        <v>1000</v>
      </c>
      <c r="J18" s="5"/>
      <c r="K18" s="5"/>
      <c r="L18" t="s">
        <v>103</v>
      </c>
      <c r="M18" s="7">
        <f>M15*70%</f>
        <v>1931999.9999999998</v>
      </c>
      <c r="N18" s="7">
        <f>M18</f>
        <v>1931999.9999999998</v>
      </c>
      <c r="O18" s="7"/>
      <c r="P18" s="7">
        <f>N18</f>
        <v>1931999.9999999998</v>
      </c>
      <c r="Q18" s="7"/>
      <c r="R18" s="7">
        <f>P18</f>
        <v>1931999.9999999998</v>
      </c>
      <c r="S18" s="7"/>
      <c r="T18" s="7">
        <f>R18</f>
        <v>1931999.9999999998</v>
      </c>
      <c r="U18" s="7">
        <f>T18</f>
        <v>1931999.9999999998</v>
      </c>
      <c r="V18" s="180"/>
      <c r="W18" s="11"/>
    </row>
    <row r="19" spans="1:23" x14ac:dyDescent="0.25">
      <c r="H19" s="8">
        <f t="shared" si="9"/>
        <v>3400</v>
      </c>
      <c r="I19" s="8">
        <f t="shared" si="9"/>
        <v>3400</v>
      </c>
      <c r="L19" t="s">
        <v>104</v>
      </c>
      <c r="M19" s="7">
        <f t="shared" ref="M19:U19" si="11">M15-M18</f>
        <v>828000.00000000023</v>
      </c>
      <c r="N19" s="7">
        <f t="shared" si="11"/>
        <v>1268000.0000000002</v>
      </c>
      <c r="O19" s="7"/>
      <c r="P19" s="7">
        <f t="shared" si="11"/>
        <v>1568000.0000000002</v>
      </c>
      <c r="Q19" s="7"/>
      <c r="R19" s="7">
        <f t="shared" si="11"/>
        <v>2068000.0000000002</v>
      </c>
      <c r="S19" s="7"/>
      <c r="T19" s="7">
        <f t="shared" si="11"/>
        <v>2568000</v>
      </c>
      <c r="U19" s="7">
        <f t="shared" si="11"/>
        <v>3068000</v>
      </c>
      <c r="V19" s="180"/>
      <c r="W19" s="11"/>
    </row>
    <row r="20" spans="1:23" x14ac:dyDescent="0.25">
      <c r="A20" s="22" t="s">
        <v>105</v>
      </c>
      <c r="B20" s="13"/>
      <c r="C20" s="8" t="s">
        <v>106</v>
      </c>
      <c r="D20" s="8" t="s">
        <v>106</v>
      </c>
      <c r="E20" s="8" t="s">
        <v>106</v>
      </c>
      <c r="F20" s="8" t="s">
        <v>106</v>
      </c>
      <c r="G20" s="8" t="s">
        <v>106</v>
      </c>
      <c r="H20" s="8">
        <v>600</v>
      </c>
      <c r="I20" s="25">
        <v>600</v>
      </c>
      <c r="L20" t="s">
        <v>107</v>
      </c>
      <c r="M20" s="180">
        <f t="shared" ref="M20:U20" si="12">165000+(2%*M15)</f>
        <v>220200</v>
      </c>
      <c r="N20" s="180">
        <f t="shared" si="12"/>
        <v>229000</v>
      </c>
      <c r="O20" s="180"/>
      <c r="P20" s="180">
        <f t="shared" si="12"/>
        <v>235000</v>
      </c>
      <c r="Q20" s="180"/>
      <c r="R20" s="180">
        <f t="shared" si="12"/>
        <v>245000</v>
      </c>
      <c r="S20" s="180"/>
      <c r="T20" s="180">
        <f t="shared" si="12"/>
        <v>255000</v>
      </c>
      <c r="U20" s="180">
        <f t="shared" si="12"/>
        <v>265000</v>
      </c>
      <c r="V20" s="180"/>
      <c r="W20" s="11"/>
    </row>
    <row r="21" spans="1:23" x14ac:dyDescent="0.25">
      <c r="A21" s="22" t="s">
        <v>28</v>
      </c>
      <c r="B21" s="13"/>
      <c r="C21" s="44">
        <v>2000</v>
      </c>
      <c r="D21" s="44">
        <v>2000</v>
      </c>
      <c r="E21" s="44">
        <v>2000</v>
      </c>
      <c r="F21" s="44">
        <v>2000</v>
      </c>
      <c r="G21" s="44">
        <v>2000</v>
      </c>
      <c r="H21" s="44" t="e">
        <f>+G20*(100%+$B20)</f>
        <v>#VALUE!</v>
      </c>
      <c r="I21" s="45" t="e">
        <f>+H21*(100%+$B20)</f>
        <v>#VALUE!</v>
      </c>
      <c r="L21" t="s">
        <v>108</v>
      </c>
      <c r="M21" s="180">
        <f t="shared" ref="M21:U21" si="13">M19-M20</f>
        <v>607800.00000000023</v>
      </c>
      <c r="N21" s="180">
        <f t="shared" si="13"/>
        <v>1039000.0000000002</v>
      </c>
      <c r="O21" s="180"/>
      <c r="P21" s="180">
        <f t="shared" si="13"/>
        <v>1333000.0000000002</v>
      </c>
      <c r="Q21" s="180"/>
      <c r="R21" s="180">
        <f t="shared" si="13"/>
        <v>1823000.0000000002</v>
      </c>
      <c r="S21" s="180"/>
      <c r="T21" s="180">
        <f t="shared" si="13"/>
        <v>2313000</v>
      </c>
      <c r="U21" s="180">
        <f t="shared" si="13"/>
        <v>2803000</v>
      </c>
      <c r="V21" s="180"/>
      <c r="W21" s="11"/>
    </row>
    <row r="22" spans="1:23" x14ac:dyDescent="0.25">
      <c r="A22" s="22" t="s">
        <v>84</v>
      </c>
      <c r="B22" s="15"/>
      <c r="C22" s="8"/>
      <c r="D22" s="8"/>
      <c r="E22" s="8"/>
      <c r="F22" s="8"/>
      <c r="G22" s="8"/>
      <c r="H22" s="8">
        <v>10000</v>
      </c>
      <c r="I22" s="8">
        <v>10000</v>
      </c>
      <c r="L22" t="s">
        <v>109</v>
      </c>
      <c r="M22" s="180">
        <f t="shared" ref="M22:U22" si="14">IF(M21&gt;M14,M14,M21)</f>
        <v>607800.00000000023</v>
      </c>
      <c r="N22" s="180">
        <f t="shared" si="14"/>
        <v>850000</v>
      </c>
      <c r="O22" s="180"/>
      <c r="P22" s="180">
        <f t="shared" si="14"/>
        <v>850000</v>
      </c>
      <c r="Q22" s="180"/>
      <c r="R22" s="180">
        <f t="shared" si="14"/>
        <v>850000</v>
      </c>
      <c r="S22" s="180"/>
      <c r="T22" s="180">
        <f t="shared" si="14"/>
        <v>850000</v>
      </c>
      <c r="U22" s="180">
        <f t="shared" si="14"/>
        <v>850000</v>
      </c>
      <c r="V22" s="180"/>
      <c r="W22" s="11"/>
    </row>
    <row r="23" spans="1:23" x14ac:dyDescent="0.25">
      <c r="A23" s="41" t="s">
        <v>110</v>
      </c>
      <c r="B23" s="42"/>
      <c r="C23" s="47">
        <f>+SUM(C14:C22)</f>
        <v>38720</v>
      </c>
      <c r="D23" s="47">
        <f t="shared" ref="D23:G23" si="15">+SUM(D14:D22)</f>
        <v>38720</v>
      </c>
      <c r="E23" s="47">
        <f t="shared" si="15"/>
        <v>34580</v>
      </c>
      <c r="F23" s="47">
        <f t="shared" si="15"/>
        <v>36743.4</v>
      </c>
      <c r="G23" s="47">
        <f t="shared" si="15"/>
        <v>39180</v>
      </c>
      <c r="H23" s="47" t="e">
        <f>SUM(H7:H22)</f>
        <v>#VALUE!</v>
      </c>
      <c r="I23" s="48" t="e">
        <f>SUM(I7:I22)</f>
        <v>#VALUE!</v>
      </c>
      <c r="L23" t="s">
        <v>111</v>
      </c>
      <c r="M23" s="180">
        <f t="shared" ref="M23:U23" si="16">IF(M21&gt;M14,(M21-M22),(M22-M14))</f>
        <v>-242199.99999999977</v>
      </c>
      <c r="N23" s="180">
        <f t="shared" si="16"/>
        <v>189000.00000000023</v>
      </c>
      <c r="O23" s="180"/>
      <c r="P23" s="180">
        <f t="shared" si="16"/>
        <v>483000.00000000023</v>
      </c>
      <c r="Q23" s="180"/>
      <c r="R23" s="180">
        <f t="shared" si="16"/>
        <v>973000.00000000023</v>
      </c>
      <c r="S23" s="180"/>
      <c r="T23" s="180">
        <f t="shared" si="16"/>
        <v>1463000</v>
      </c>
      <c r="U23" s="180">
        <f t="shared" si="16"/>
        <v>1953000</v>
      </c>
      <c r="V23" s="180"/>
      <c r="W23" s="11"/>
    </row>
    <row r="24" spans="1:23" x14ac:dyDescent="0.25">
      <c r="A24" s="155" t="s">
        <v>112</v>
      </c>
      <c r="B24" s="156"/>
      <c r="C24" s="157">
        <f>+C23/10</f>
        <v>3872</v>
      </c>
      <c r="D24" s="157">
        <f t="shared" ref="D24:G24" si="17">+D23/10</f>
        <v>3872</v>
      </c>
      <c r="E24" s="157">
        <f t="shared" si="17"/>
        <v>3458</v>
      </c>
      <c r="F24" s="157">
        <f t="shared" si="17"/>
        <v>3674.34</v>
      </c>
      <c r="G24" s="157">
        <f t="shared" si="17"/>
        <v>3918</v>
      </c>
      <c r="H24" s="157"/>
      <c r="I24" s="158"/>
      <c r="L24" t="s">
        <v>113</v>
      </c>
      <c r="M24" s="182">
        <f>IF(M23&gt;0,(M23*M16),M23)</f>
        <v>-242199.99999999977</v>
      </c>
      <c r="N24" s="182">
        <f t="shared" ref="N24:U24" si="18">IF(N23&gt;0,(N23*N16),N23)</f>
        <v>85050.000000000102</v>
      </c>
      <c r="O24" s="182"/>
      <c r="P24" s="182">
        <f t="shared" si="18"/>
        <v>217350.00000000012</v>
      </c>
      <c r="Q24" s="182"/>
      <c r="R24" s="182">
        <f t="shared" si="18"/>
        <v>437850.00000000012</v>
      </c>
      <c r="S24" s="182"/>
      <c r="T24" s="182">
        <f t="shared" si="18"/>
        <v>658350</v>
      </c>
      <c r="U24" s="182">
        <f t="shared" si="18"/>
        <v>878850</v>
      </c>
    </row>
    <row r="25" spans="1:23" ht="15.75" thickBot="1" x14ac:dyDescent="0.3">
      <c r="A25" s="49"/>
      <c r="B25" s="50"/>
      <c r="C25" s="51"/>
      <c r="D25" s="51"/>
      <c r="E25" s="51"/>
      <c r="F25" s="51"/>
      <c r="G25" s="51"/>
      <c r="H25" s="51" t="e">
        <f>H5-H23</f>
        <v>#VALUE!</v>
      </c>
      <c r="I25" s="52" t="e">
        <f>I5-I23</f>
        <v>#VALUE!</v>
      </c>
      <c r="L25" t="s">
        <v>114</v>
      </c>
      <c r="M25" s="11">
        <f>M24/M14</f>
        <v>-0.28494117647058798</v>
      </c>
      <c r="N25" s="11">
        <f t="shared" ref="N25:U25" si="19">N24/N14</f>
        <v>0.10005882352941188</v>
      </c>
      <c r="O25" s="11"/>
      <c r="P25" s="11">
        <f t="shared" si="19"/>
        <v>0.25570588235294134</v>
      </c>
      <c r="Q25" s="11"/>
      <c r="R25" s="11">
        <f t="shared" si="19"/>
        <v>0.51511764705882368</v>
      </c>
      <c r="S25" s="11"/>
      <c r="T25" s="11">
        <f t="shared" si="19"/>
        <v>0.77452941176470591</v>
      </c>
      <c r="U25" s="11">
        <f t="shared" si="19"/>
        <v>1.0339411764705881</v>
      </c>
    </row>
    <row r="26" spans="1:23" x14ac:dyDescent="0.25">
      <c r="C26" s="53"/>
      <c r="D26" s="53"/>
      <c r="E26" s="53"/>
      <c r="F26" s="53"/>
      <c r="G26" s="4"/>
      <c r="H26" s="4"/>
      <c r="L26" t="s">
        <v>115</v>
      </c>
      <c r="M26">
        <f>IF(M24&gt;0,M23-M25,0)</f>
        <v>0</v>
      </c>
      <c r="N26" s="11">
        <f>N25/N13</f>
        <v>0.10005882352941188</v>
      </c>
      <c r="O26" s="11"/>
      <c r="P26" s="11">
        <f t="shared" ref="P26:U26" si="20">P25/P13</f>
        <v>0.12785294117647067</v>
      </c>
      <c r="Q26" s="11"/>
      <c r="R26" s="11">
        <f t="shared" si="20"/>
        <v>0.17170588235294124</v>
      </c>
      <c r="S26" s="11"/>
      <c r="T26" s="11">
        <f t="shared" si="20"/>
        <v>0.15490588235294117</v>
      </c>
      <c r="U26" s="11">
        <f t="shared" si="20"/>
        <v>0.17232352941176468</v>
      </c>
    </row>
    <row r="27" spans="1:23" x14ac:dyDescent="0.25">
      <c r="G27" s="53"/>
      <c r="H27" s="53"/>
      <c r="L27" t="s">
        <v>116</v>
      </c>
    </row>
    <row r="28" spans="1:23" x14ac:dyDescent="0.25">
      <c r="C28" s="54">
        <v>45748</v>
      </c>
      <c r="D28" s="54">
        <v>46023</v>
      </c>
    </row>
    <row r="29" spans="1:23" x14ac:dyDescent="0.25">
      <c r="A29" t="s">
        <v>86</v>
      </c>
      <c r="C29" t="s">
        <v>87</v>
      </c>
      <c r="D29" t="s">
        <v>88</v>
      </c>
    </row>
    <row r="30" spans="1:23" x14ac:dyDescent="0.25">
      <c r="A30" s="1" t="s">
        <v>89</v>
      </c>
      <c r="B30" s="1"/>
      <c r="C30" s="1" t="e">
        <f>SUM(C31:C35)</f>
        <v>#REF!</v>
      </c>
      <c r="D30" s="1" t="e">
        <f>SUM(D31:D39)</f>
        <v>#REF!</v>
      </c>
      <c r="E30" s="1"/>
      <c r="F30" s="1"/>
    </row>
    <row r="31" spans="1:23" x14ac:dyDescent="0.25">
      <c r="A31" t="s">
        <v>52</v>
      </c>
      <c r="C31">
        <v>5000</v>
      </c>
    </row>
    <row r="32" spans="1:23" x14ac:dyDescent="0.25">
      <c r="A32" t="s">
        <v>90</v>
      </c>
      <c r="C32" s="5">
        <v>100000</v>
      </c>
    </row>
    <row r="33" spans="1:13" x14ac:dyDescent="0.25">
      <c r="A33" t="s">
        <v>51</v>
      </c>
      <c r="C33" s="5" t="e">
        <f>#REF!</f>
        <v>#REF!</v>
      </c>
    </row>
    <row r="34" spans="1:13" x14ac:dyDescent="0.25">
      <c r="A34" t="s">
        <v>10</v>
      </c>
      <c r="C34" s="5"/>
      <c r="D34" s="7">
        <f>2760000*20%-C32</f>
        <v>452000</v>
      </c>
    </row>
    <row r="35" spans="1:13" x14ac:dyDescent="0.25">
      <c r="A35" t="s">
        <v>91</v>
      </c>
      <c r="D35" s="7" t="e">
        <f>#REF!</f>
        <v>#REF!</v>
      </c>
    </row>
    <row r="36" spans="1:13" x14ac:dyDescent="0.25">
      <c r="A36" t="s">
        <v>92</v>
      </c>
      <c r="D36" s="7" t="e">
        <f>#REF!</f>
        <v>#REF!</v>
      </c>
    </row>
    <row r="37" spans="1:13" x14ac:dyDescent="0.25">
      <c r="A37" t="s">
        <v>93</v>
      </c>
      <c r="D37">
        <v>3000</v>
      </c>
    </row>
    <row r="41" spans="1:13" x14ac:dyDescent="0.25">
      <c r="D41" s="53">
        <f>+C48+E48</f>
        <v>73054</v>
      </c>
    </row>
    <row r="42" spans="1:13" x14ac:dyDescent="0.25">
      <c r="A42" t="s">
        <v>117</v>
      </c>
      <c r="D42" s="53">
        <f>140000-D41</f>
        <v>66946</v>
      </c>
    </row>
    <row r="43" spans="1:13" ht="15.75" thickBot="1" x14ac:dyDescent="0.3"/>
    <row r="44" spans="1:13" ht="60.75" thickBot="1" x14ac:dyDescent="0.3">
      <c r="A44" s="184" t="s">
        <v>118</v>
      </c>
      <c r="B44" s="184" t="s">
        <v>119</v>
      </c>
      <c r="C44" s="184" t="s">
        <v>120</v>
      </c>
      <c r="D44" s="184" t="s">
        <v>121</v>
      </c>
      <c r="E44" s="184" t="s">
        <v>122</v>
      </c>
      <c r="F44" s="184" t="s">
        <v>123</v>
      </c>
      <c r="G44" s="184" t="s">
        <v>124</v>
      </c>
      <c r="H44" s="184" t="s">
        <v>125</v>
      </c>
      <c r="I44" s="184" t="s">
        <v>126</v>
      </c>
      <c r="J44" s="184" t="s">
        <v>127</v>
      </c>
      <c r="K44" s="188" t="s">
        <v>128</v>
      </c>
      <c r="L44" s="188" t="s">
        <v>129</v>
      </c>
      <c r="M44" s="188" t="s">
        <v>130</v>
      </c>
    </row>
    <row r="45" spans="1:13" ht="15.75" thickBot="1" x14ac:dyDescent="0.3">
      <c r="A45" s="185">
        <v>1</v>
      </c>
      <c r="B45" s="186">
        <v>12180</v>
      </c>
      <c r="C45" s="186">
        <v>11858</v>
      </c>
      <c r="D45" s="186">
        <f>C45+B45</f>
        <v>24038</v>
      </c>
      <c r="E45" s="186">
        <v>25622</v>
      </c>
      <c r="F45" s="186">
        <f>E45+D45</f>
        <v>49660</v>
      </c>
      <c r="G45" s="186">
        <f>E45+C45</f>
        <v>37480</v>
      </c>
      <c r="H45" s="186">
        <f>(B45/2)+C45+E45</f>
        <v>43570</v>
      </c>
      <c r="I45" s="186">
        <f>F45*0.92</f>
        <v>45687.200000000004</v>
      </c>
      <c r="J45" s="186">
        <f>H45*0.92</f>
        <v>40084.400000000001</v>
      </c>
      <c r="K45" s="189">
        <f>+((B45/2)+C45+E45)*0.86</f>
        <v>37470.199999999997</v>
      </c>
      <c r="L45">
        <f>+F45*0.86</f>
        <v>42707.6</v>
      </c>
      <c r="M45" s="53">
        <f>+F45-L45</f>
        <v>6952.4000000000015</v>
      </c>
    </row>
    <row r="46" spans="1:13" ht="15.75" thickBot="1" x14ac:dyDescent="0.3">
      <c r="A46" s="185">
        <v>2</v>
      </c>
      <c r="B46" s="186">
        <v>24360</v>
      </c>
      <c r="C46" s="186">
        <v>23716</v>
      </c>
      <c r="D46" s="186">
        <f t="shared" ref="D46:D53" si="21">C46+B46</f>
        <v>48076</v>
      </c>
      <c r="E46" s="186">
        <v>25622</v>
      </c>
      <c r="F46" s="186">
        <f t="shared" ref="F46:F53" si="22">E46+D46</f>
        <v>73698</v>
      </c>
      <c r="G46" s="186">
        <f t="shared" ref="G46:G53" si="23">E46+C46</f>
        <v>49338</v>
      </c>
      <c r="H46" s="186">
        <f t="shared" ref="H46:H53" si="24">(B46/2)+C46+E46</f>
        <v>61518</v>
      </c>
      <c r="I46" s="186">
        <f t="shared" ref="I46:I53" si="25">F46*0.92</f>
        <v>67802.16</v>
      </c>
      <c r="J46" s="186">
        <f t="shared" ref="J46:J53" si="26">H46*0.92</f>
        <v>56596.560000000005</v>
      </c>
      <c r="K46" s="189">
        <f t="shared" ref="K46:K53" si="27">+((B46/2)+C46+E46)*0.86</f>
        <v>52905.479999999996</v>
      </c>
      <c r="L46">
        <f t="shared" ref="L46:L53" si="28">+F46*0.86</f>
        <v>63380.28</v>
      </c>
      <c r="M46" s="53">
        <f t="shared" ref="M46:M53" si="29">+F46-L46</f>
        <v>10317.720000000001</v>
      </c>
    </row>
    <row r="47" spans="1:13" ht="15.75" thickBot="1" x14ac:dyDescent="0.3">
      <c r="A47" s="185">
        <v>3</v>
      </c>
      <c r="B47" s="186">
        <v>36540</v>
      </c>
      <c r="C47" s="186">
        <v>35574</v>
      </c>
      <c r="D47" s="186">
        <f t="shared" si="21"/>
        <v>72114</v>
      </c>
      <c r="E47" s="186">
        <v>25622</v>
      </c>
      <c r="F47" s="186">
        <f t="shared" si="22"/>
        <v>97736</v>
      </c>
      <c r="G47" s="186">
        <f t="shared" si="23"/>
        <v>61196</v>
      </c>
      <c r="H47" s="186">
        <f t="shared" si="24"/>
        <v>79466</v>
      </c>
      <c r="I47" s="186">
        <f t="shared" si="25"/>
        <v>89917.12000000001</v>
      </c>
      <c r="J47" s="186">
        <f t="shared" si="26"/>
        <v>73108.72</v>
      </c>
      <c r="K47" s="189">
        <f t="shared" si="27"/>
        <v>68340.759999999995</v>
      </c>
      <c r="L47">
        <f t="shared" si="28"/>
        <v>84052.959999999992</v>
      </c>
      <c r="M47" s="53">
        <f t="shared" si="29"/>
        <v>13683.040000000008</v>
      </c>
    </row>
    <row r="48" spans="1:13" ht="15.75" thickBot="1" x14ac:dyDescent="0.3">
      <c r="A48" s="185">
        <v>4</v>
      </c>
      <c r="B48" s="186">
        <v>48720</v>
      </c>
      <c r="C48" s="186">
        <v>47432</v>
      </c>
      <c r="D48" s="186">
        <f t="shared" si="21"/>
        <v>96152</v>
      </c>
      <c r="E48" s="186">
        <v>25622</v>
      </c>
      <c r="F48" s="186">
        <f t="shared" si="22"/>
        <v>121774</v>
      </c>
      <c r="G48" s="186">
        <f t="shared" si="23"/>
        <v>73054</v>
      </c>
      <c r="H48" s="186">
        <f t="shared" si="24"/>
        <v>97414</v>
      </c>
      <c r="I48" s="186">
        <f t="shared" si="25"/>
        <v>112032.08</v>
      </c>
      <c r="J48" s="186">
        <f t="shared" si="26"/>
        <v>89620.88</v>
      </c>
      <c r="K48" s="189">
        <f t="shared" si="27"/>
        <v>83776.039999999994</v>
      </c>
      <c r="L48">
        <f t="shared" si="28"/>
        <v>104725.64</v>
      </c>
      <c r="M48" s="53">
        <f t="shared" si="29"/>
        <v>17048.36</v>
      </c>
    </row>
    <row r="49" spans="1:13" ht="15.75" thickBot="1" x14ac:dyDescent="0.3">
      <c r="A49" s="185">
        <v>5</v>
      </c>
      <c r="B49" s="186">
        <v>60899</v>
      </c>
      <c r="C49" s="186">
        <v>59289</v>
      </c>
      <c r="D49" s="186">
        <f t="shared" si="21"/>
        <v>120188</v>
      </c>
      <c r="E49" s="186">
        <v>25622</v>
      </c>
      <c r="F49" s="186">
        <f t="shared" si="22"/>
        <v>145810</v>
      </c>
      <c r="G49" s="186">
        <f t="shared" si="23"/>
        <v>84911</v>
      </c>
      <c r="H49" s="186">
        <f t="shared" si="24"/>
        <v>115360.5</v>
      </c>
      <c r="I49" s="186">
        <f t="shared" si="25"/>
        <v>134145.20000000001</v>
      </c>
      <c r="J49" s="186">
        <f t="shared" si="26"/>
        <v>106131.66</v>
      </c>
      <c r="K49" s="189">
        <f t="shared" si="27"/>
        <v>99210.03</v>
      </c>
      <c r="L49">
        <f t="shared" si="28"/>
        <v>125396.59999999999</v>
      </c>
      <c r="M49" s="53">
        <f t="shared" si="29"/>
        <v>20413.400000000009</v>
      </c>
    </row>
    <row r="50" spans="1:13" ht="15.75" thickBot="1" x14ac:dyDescent="0.3">
      <c r="A50" s="185">
        <v>6</v>
      </c>
      <c r="B50" s="186">
        <v>73079</v>
      </c>
      <c r="C50" s="186">
        <v>71147</v>
      </c>
      <c r="D50" s="186">
        <f t="shared" si="21"/>
        <v>144226</v>
      </c>
      <c r="E50" s="186">
        <v>25622</v>
      </c>
      <c r="F50" s="186">
        <f t="shared" si="22"/>
        <v>169848</v>
      </c>
      <c r="G50" s="186">
        <f t="shared" si="23"/>
        <v>96769</v>
      </c>
      <c r="H50" s="186">
        <f t="shared" si="24"/>
        <v>133308.5</v>
      </c>
      <c r="I50" s="186">
        <f t="shared" si="25"/>
        <v>156260.16</v>
      </c>
      <c r="J50" s="186">
        <f t="shared" si="26"/>
        <v>122643.82</v>
      </c>
      <c r="K50" s="189">
        <f t="shared" si="27"/>
        <v>114645.31</v>
      </c>
      <c r="L50">
        <f t="shared" si="28"/>
        <v>146069.28</v>
      </c>
      <c r="M50" s="53">
        <f t="shared" si="29"/>
        <v>23778.720000000001</v>
      </c>
    </row>
    <row r="51" spans="1:13" ht="15.75" thickBot="1" x14ac:dyDescent="0.3">
      <c r="A51" s="185">
        <v>7</v>
      </c>
      <c r="B51" s="186">
        <v>85259</v>
      </c>
      <c r="C51" s="186">
        <v>83005</v>
      </c>
      <c r="D51" s="186">
        <f t="shared" si="21"/>
        <v>168264</v>
      </c>
      <c r="E51" s="186">
        <v>25622</v>
      </c>
      <c r="F51" s="186">
        <f t="shared" si="22"/>
        <v>193886</v>
      </c>
      <c r="G51" s="186">
        <f t="shared" si="23"/>
        <v>108627</v>
      </c>
      <c r="H51" s="186">
        <f t="shared" si="24"/>
        <v>151256.5</v>
      </c>
      <c r="I51" s="186">
        <f t="shared" si="25"/>
        <v>178375.12</v>
      </c>
      <c r="J51" s="186">
        <f t="shared" si="26"/>
        <v>139155.98000000001</v>
      </c>
      <c r="K51" s="189">
        <f t="shared" si="27"/>
        <v>130080.59</v>
      </c>
      <c r="L51">
        <f t="shared" si="28"/>
        <v>166741.96</v>
      </c>
      <c r="M51" s="53">
        <f t="shared" si="29"/>
        <v>27144.040000000008</v>
      </c>
    </row>
    <row r="52" spans="1:13" ht="15.75" thickBot="1" x14ac:dyDescent="0.3">
      <c r="A52" s="185">
        <v>8</v>
      </c>
      <c r="B52" s="186">
        <v>97439</v>
      </c>
      <c r="C52" s="186">
        <v>94863</v>
      </c>
      <c r="D52" s="186">
        <f t="shared" si="21"/>
        <v>192302</v>
      </c>
      <c r="E52" s="186">
        <v>25622</v>
      </c>
      <c r="F52" s="186">
        <f t="shared" si="22"/>
        <v>217924</v>
      </c>
      <c r="G52" s="186">
        <f t="shared" si="23"/>
        <v>120485</v>
      </c>
      <c r="H52" s="186">
        <f t="shared" si="24"/>
        <v>169204.5</v>
      </c>
      <c r="I52" s="186">
        <f t="shared" si="25"/>
        <v>200490.08000000002</v>
      </c>
      <c r="J52" s="186">
        <f t="shared" si="26"/>
        <v>155668.14000000001</v>
      </c>
      <c r="K52" s="189">
        <f t="shared" si="27"/>
        <v>145515.87</v>
      </c>
      <c r="L52">
        <f t="shared" si="28"/>
        <v>187414.63999999998</v>
      </c>
      <c r="M52" s="53">
        <f t="shared" si="29"/>
        <v>30509.360000000015</v>
      </c>
    </row>
    <row r="53" spans="1:13" ht="15.75" thickBot="1" x14ac:dyDescent="0.3">
      <c r="A53" s="185">
        <v>9</v>
      </c>
      <c r="B53" s="186">
        <v>109619</v>
      </c>
      <c r="C53" s="186">
        <v>106721</v>
      </c>
      <c r="D53" s="186">
        <f t="shared" si="21"/>
        <v>216340</v>
      </c>
      <c r="E53" s="186">
        <v>25622</v>
      </c>
      <c r="F53" s="186">
        <f t="shared" si="22"/>
        <v>241962</v>
      </c>
      <c r="G53" s="186">
        <f t="shared" si="23"/>
        <v>132343</v>
      </c>
      <c r="H53" s="186">
        <f t="shared" si="24"/>
        <v>187152.5</v>
      </c>
      <c r="I53" s="186">
        <f t="shared" si="25"/>
        <v>222605.04</v>
      </c>
      <c r="J53" s="186">
        <f t="shared" si="26"/>
        <v>172180.30000000002</v>
      </c>
      <c r="K53" s="189">
        <f t="shared" si="27"/>
        <v>160951.15</v>
      </c>
      <c r="L53">
        <f t="shared" si="28"/>
        <v>208087.32</v>
      </c>
      <c r="M53" s="53">
        <f t="shared" si="29"/>
        <v>33874.679999999993</v>
      </c>
    </row>
    <row r="55" spans="1:13" x14ac:dyDescent="0.25">
      <c r="A55" t="s">
        <v>131</v>
      </c>
    </row>
    <row r="56" spans="1:13" ht="38.25" x14ac:dyDescent="0.25">
      <c r="A56" s="192" t="s">
        <v>118</v>
      </c>
      <c r="B56" s="192" t="s">
        <v>132</v>
      </c>
      <c r="C56" s="192" t="s">
        <v>125</v>
      </c>
      <c r="D56" s="192" t="s">
        <v>133</v>
      </c>
      <c r="E56" s="192" t="s">
        <v>134</v>
      </c>
      <c r="F56" s="192" t="s">
        <v>135</v>
      </c>
      <c r="G56" s="192" t="s">
        <v>136</v>
      </c>
      <c r="H56" s="192" t="s">
        <v>137</v>
      </c>
      <c r="I56" s="193" t="s">
        <v>138</v>
      </c>
    </row>
    <row r="57" spans="1:13" x14ac:dyDescent="0.25">
      <c r="A57" s="190">
        <v>1</v>
      </c>
      <c r="B57" s="191">
        <v>49660</v>
      </c>
      <c r="C57" s="191">
        <v>43570</v>
      </c>
      <c r="D57" s="191">
        <v>140000</v>
      </c>
      <c r="E57" s="191"/>
      <c r="F57" s="191"/>
      <c r="G57" s="191">
        <v>0</v>
      </c>
      <c r="H57" s="191"/>
      <c r="I57" s="53">
        <f t="shared" ref="I57:I65" si="30">D57+(F57/2)</f>
        <v>140000</v>
      </c>
      <c r="J57" s="169"/>
      <c r="K57" s="169"/>
    </row>
    <row r="58" spans="1:13" x14ac:dyDescent="0.25">
      <c r="A58" s="190">
        <v>2</v>
      </c>
      <c r="B58" s="191">
        <v>73698</v>
      </c>
      <c r="C58" s="191">
        <v>61518</v>
      </c>
      <c r="D58" s="191">
        <v>140000</v>
      </c>
      <c r="E58" s="191"/>
      <c r="F58" s="191"/>
      <c r="G58" s="191">
        <v>0</v>
      </c>
      <c r="H58" s="191"/>
      <c r="I58" s="53">
        <f t="shared" si="30"/>
        <v>140000</v>
      </c>
    </row>
    <row r="59" spans="1:13" x14ac:dyDescent="0.25">
      <c r="A59" s="190">
        <v>3</v>
      </c>
      <c r="B59" s="191">
        <v>97736</v>
      </c>
      <c r="C59" s="191">
        <v>79466</v>
      </c>
      <c r="D59" s="191">
        <v>140000</v>
      </c>
      <c r="E59" s="191"/>
      <c r="F59" s="191"/>
      <c r="G59" s="191">
        <v>0</v>
      </c>
      <c r="H59" s="191"/>
      <c r="I59" s="53">
        <f t="shared" si="30"/>
        <v>140000</v>
      </c>
    </row>
    <row r="60" spans="1:13" x14ac:dyDescent="0.25">
      <c r="A60" s="190">
        <v>4</v>
      </c>
      <c r="B60" s="191">
        <v>121774</v>
      </c>
      <c r="C60" s="191">
        <v>97414</v>
      </c>
      <c r="D60" s="191">
        <v>140000</v>
      </c>
      <c r="E60" s="191"/>
      <c r="F60" s="191"/>
      <c r="G60" s="191">
        <v>0</v>
      </c>
      <c r="H60" s="191"/>
      <c r="I60" s="53">
        <f t="shared" si="30"/>
        <v>140000</v>
      </c>
      <c r="J60" s="53"/>
      <c r="K60" s="53"/>
    </row>
    <row r="61" spans="1:13" x14ac:dyDescent="0.25">
      <c r="A61" s="190">
        <v>5</v>
      </c>
      <c r="B61" s="191">
        <v>145810</v>
      </c>
      <c r="C61" s="191">
        <v>115360.5</v>
      </c>
      <c r="D61" s="191">
        <v>140000</v>
      </c>
      <c r="E61" s="191"/>
      <c r="F61" s="191">
        <f>+B61-D61</f>
        <v>5810</v>
      </c>
      <c r="G61" s="191">
        <v>0</v>
      </c>
      <c r="H61" s="191">
        <f>+F61/2</f>
        <v>2905</v>
      </c>
      <c r="I61" s="53">
        <f t="shared" si="30"/>
        <v>142905</v>
      </c>
      <c r="J61" s="53"/>
      <c r="K61" s="53"/>
    </row>
    <row r="62" spans="1:13" x14ac:dyDescent="0.25">
      <c r="A62" s="190">
        <v>6</v>
      </c>
      <c r="B62" s="191">
        <v>169848</v>
      </c>
      <c r="C62" s="191">
        <v>133308.5</v>
      </c>
      <c r="D62" s="191">
        <v>140000</v>
      </c>
      <c r="E62" s="191"/>
      <c r="F62" s="191">
        <f>+B62-D62</f>
        <v>29848</v>
      </c>
      <c r="G62" s="191">
        <f>C62-D62</f>
        <v>-6691.5</v>
      </c>
      <c r="H62" s="191">
        <f t="shared" ref="H62:H65" si="31">+F62/2</f>
        <v>14924</v>
      </c>
      <c r="I62" s="53">
        <f t="shared" si="30"/>
        <v>154924</v>
      </c>
      <c r="J62" s="53"/>
      <c r="K62" s="53"/>
    </row>
    <row r="63" spans="1:13" x14ac:dyDescent="0.25">
      <c r="A63" s="190">
        <v>7</v>
      </c>
      <c r="B63" s="191">
        <v>193886</v>
      </c>
      <c r="C63" s="191">
        <v>151256.5</v>
      </c>
      <c r="D63" s="191">
        <v>140000</v>
      </c>
      <c r="E63" s="191">
        <f>+C63-D63</f>
        <v>11256.5</v>
      </c>
      <c r="F63" s="191">
        <f>+B63-D63</f>
        <v>53886</v>
      </c>
      <c r="G63" s="191">
        <f>(C63-D63)/2</f>
        <v>5628.25</v>
      </c>
      <c r="H63" s="191">
        <f t="shared" si="31"/>
        <v>26943</v>
      </c>
      <c r="I63" s="53">
        <f t="shared" si="30"/>
        <v>166943</v>
      </c>
      <c r="J63" s="53"/>
      <c r="K63" s="53"/>
    </row>
    <row r="64" spans="1:13" x14ac:dyDescent="0.25">
      <c r="A64" s="190">
        <v>8</v>
      </c>
      <c r="B64" s="191">
        <v>217924</v>
      </c>
      <c r="C64" s="191">
        <v>169204.5</v>
      </c>
      <c r="D64" s="191">
        <v>140000</v>
      </c>
      <c r="E64" s="191">
        <f>+C64-D64</f>
        <v>29204.5</v>
      </c>
      <c r="F64" s="191">
        <f>+B64-D64</f>
        <v>77924</v>
      </c>
      <c r="G64" s="191">
        <f>(C64-D64)/2</f>
        <v>14602.25</v>
      </c>
      <c r="H64" s="191">
        <f t="shared" si="31"/>
        <v>38962</v>
      </c>
      <c r="I64" s="53">
        <f t="shared" si="30"/>
        <v>178962</v>
      </c>
      <c r="J64" s="53"/>
      <c r="K64" s="53"/>
    </row>
    <row r="65" spans="1:11" x14ac:dyDescent="0.25">
      <c r="A65" s="190">
        <v>9</v>
      </c>
      <c r="B65" s="191">
        <v>241962</v>
      </c>
      <c r="C65" s="191">
        <v>187152.5</v>
      </c>
      <c r="D65" s="191">
        <v>140000</v>
      </c>
      <c r="E65" s="191">
        <f>+C65-D65</f>
        <v>47152.5</v>
      </c>
      <c r="F65" s="191">
        <f>+B65-D65</f>
        <v>101962</v>
      </c>
      <c r="G65" s="191">
        <f>(C65-D65)/2</f>
        <v>23576.25</v>
      </c>
      <c r="H65" s="191">
        <f t="shared" si="31"/>
        <v>50981</v>
      </c>
      <c r="I65" s="53">
        <f t="shared" si="30"/>
        <v>190981</v>
      </c>
      <c r="J65" s="53"/>
      <c r="K65" s="53"/>
    </row>
    <row r="66" spans="1:11" x14ac:dyDescent="0.25">
      <c r="J66" s="53"/>
      <c r="K66" s="53"/>
    </row>
    <row r="68" spans="1:11" x14ac:dyDescent="0.25">
      <c r="A68" t="s">
        <v>139</v>
      </c>
    </row>
    <row r="69" spans="1:11" ht="38.25" x14ac:dyDescent="0.25">
      <c r="A69" s="192" t="s">
        <v>118</v>
      </c>
      <c r="B69" s="192" t="s">
        <v>132</v>
      </c>
      <c r="C69" s="192" t="s">
        <v>125</v>
      </c>
      <c r="D69" s="192" t="s">
        <v>133</v>
      </c>
      <c r="E69" s="192" t="s">
        <v>134</v>
      </c>
      <c r="F69" s="192" t="s">
        <v>135</v>
      </c>
      <c r="G69" s="192" t="s">
        <v>136</v>
      </c>
      <c r="H69" s="192" t="s">
        <v>137</v>
      </c>
      <c r="I69" s="193" t="s">
        <v>138</v>
      </c>
    </row>
    <row r="70" spans="1:11" x14ac:dyDescent="0.25">
      <c r="A70" s="190">
        <v>1</v>
      </c>
      <c r="B70" s="191">
        <v>49660</v>
      </c>
      <c r="C70" s="191">
        <v>43570</v>
      </c>
      <c r="D70" s="191">
        <v>140000</v>
      </c>
      <c r="E70" s="191"/>
      <c r="F70" s="191"/>
      <c r="G70" s="191">
        <v>0</v>
      </c>
      <c r="H70" s="191"/>
      <c r="I70" s="53">
        <f t="shared" ref="I70:I78" si="32">D70+(F70*0.25)</f>
        <v>140000</v>
      </c>
    </row>
    <row r="71" spans="1:11" x14ac:dyDescent="0.25">
      <c r="A71" s="190">
        <v>2</v>
      </c>
      <c r="B71" s="191">
        <v>73698</v>
      </c>
      <c r="C71" s="191">
        <v>61518</v>
      </c>
      <c r="D71" s="191">
        <v>140000</v>
      </c>
      <c r="E71" s="191"/>
      <c r="F71" s="191"/>
      <c r="G71" s="191">
        <v>0</v>
      </c>
      <c r="H71" s="191"/>
      <c r="I71" s="53">
        <f t="shared" si="32"/>
        <v>140000</v>
      </c>
    </row>
    <row r="72" spans="1:11" x14ac:dyDescent="0.25">
      <c r="A72" s="190">
        <v>3</v>
      </c>
      <c r="B72" s="191">
        <v>97736</v>
      </c>
      <c r="C72" s="191">
        <v>79466</v>
      </c>
      <c r="D72" s="191">
        <v>140000</v>
      </c>
      <c r="E72" s="191"/>
      <c r="F72" s="191"/>
      <c r="G72" s="191">
        <v>0</v>
      </c>
      <c r="H72" s="191"/>
      <c r="I72" s="53">
        <f t="shared" si="32"/>
        <v>140000</v>
      </c>
      <c r="J72" s="169"/>
      <c r="K72" s="169"/>
    </row>
    <row r="73" spans="1:11" x14ac:dyDescent="0.25">
      <c r="A73" s="190">
        <v>4</v>
      </c>
      <c r="B73" s="191">
        <v>121774</v>
      </c>
      <c r="C73" s="191">
        <v>97414</v>
      </c>
      <c r="D73" s="191">
        <v>140000</v>
      </c>
      <c r="E73" s="191"/>
      <c r="F73" s="191"/>
      <c r="G73" s="191">
        <v>0</v>
      </c>
      <c r="H73" s="191"/>
      <c r="I73" s="53">
        <f t="shared" si="32"/>
        <v>140000</v>
      </c>
    </row>
    <row r="74" spans="1:11" x14ac:dyDescent="0.25">
      <c r="A74" s="190">
        <v>5</v>
      </c>
      <c r="B74" s="191">
        <v>145810</v>
      </c>
      <c r="C74" s="191">
        <v>115360.5</v>
      </c>
      <c r="D74" s="191">
        <v>140000</v>
      </c>
      <c r="E74" s="191"/>
      <c r="F74" s="191">
        <f>+B74-D74</f>
        <v>5810</v>
      </c>
      <c r="G74" s="191">
        <v>0</v>
      </c>
      <c r="H74" s="191">
        <f>+F74*0.75</f>
        <v>4357.5</v>
      </c>
      <c r="I74" s="53">
        <f t="shared" si="32"/>
        <v>141452.5</v>
      </c>
    </row>
    <row r="75" spans="1:11" x14ac:dyDescent="0.25">
      <c r="A75" s="190">
        <v>6</v>
      </c>
      <c r="B75" s="191">
        <v>169848</v>
      </c>
      <c r="C75" s="191">
        <v>133308.5</v>
      </c>
      <c r="D75" s="191">
        <v>140000</v>
      </c>
      <c r="E75" s="191"/>
      <c r="F75" s="191">
        <f>+B75-D75</f>
        <v>29848</v>
      </c>
      <c r="G75" s="191">
        <f>C75-D75</f>
        <v>-6691.5</v>
      </c>
      <c r="H75" s="191">
        <f>+F75*0.75</f>
        <v>22386</v>
      </c>
      <c r="I75" s="53">
        <f t="shared" si="32"/>
        <v>147462</v>
      </c>
      <c r="J75" s="53"/>
      <c r="K75" s="53"/>
    </row>
    <row r="76" spans="1:11" x14ac:dyDescent="0.25">
      <c r="A76" s="190">
        <v>7</v>
      </c>
      <c r="B76" s="191">
        <v>193886</v>
      </c>
      <c r="C76" s="191">
        <v>151256.5</v>
      </c>
      <c r="D76" s="191">
        <v>140000</v>
      </c>
      <c r="E76" s="191">
        <f>+C76-D76</f>
        <v>11256.5</v>
      </c>
      <c r="F76" s="191">
        <f>+B76-D76</f>
        <v>53886</v>
      </c>
      <c r="G76" s="191">
        <f>(C76-D76)*0.75</f>
        <v>8442.375</v>
      </c>
      <c r="H76" s="191">
        <f>+F76*0.75</f>
        <v>40414.5</v>
      </c>
      <c r="I76" s="53">
        <f t="shared" si="32"/>
        <v>153471.5</v>
      </c>
      <c r="J76" s="53"/>
      <c r="K76" s="53"/>
    </row>
    <row r="77" spans="1:11" x14ac:dyDescent="0.25">
      <c r="A77" s="190">
        <v>8</v>
      </c>
      <c r="B77" s="191">
        <v>217924</v>
      </c>
      <c r="C77" s="191">
        <v>169204.5</v>
      </c>
      <c r="D77" s="191">
        <v>140000</v>
      </c>
      <c r="E77" s="191">
        <f>+C77-D77</f>
        <v>29204.5</v>
      </c>
      <c r="F77" s="191">
        <f>+B77-D77</f>
        <v>77924</v>
      </c>
      <c r="G77" s="191">
        <f>(C77-D77)*0.75</f>
        <v>21903.375</v>
      </c>
      <c r="H77" s="191">
        <f>+F77*0.75</f>
        <v>58443</v>
      </c>
      <c r="I77" s="53">
        <f t="shared" si="32"/>
        <v>159481</v>
      </c>
      <c r="J77" s="53"/>
      <c r="K77" s="53"/>
    </row>
    <row r="78" spans="1:11" x14ac:dyDescent="0.25">
      <c r="A78" s="190">
        <v>9</v>
      </c>
      <c r="B78" s="191">
        <v>241962</v>
      </c>
      <c r="C78" s="191">
        <v>187152.5</v>
      </c>
      <c r="D78" s="191">
        <v>140000</v>
      </c>
      <c r="E78" s="191">
        <f>+C78-D78</f>
        <v>47152.5</v>
      </c>
      <c r="F78" s="191">
        <f>+B78-D78</f>
        <v>101962</v>
      </c>
      <c r="G78" s="191">
        <f>(C78-D78)*0.75</f>
        <v>35364.375</v>
      </c>
      <c r="H78" s="191">
        <f>+F78*0.75</f>
        <v>76471.5</v>
      </c>
      <c r="I78" s="53">
        <f t="shared" si="32"/>
        <v>165490.5</v>
      </c>
      <c r="J78" s="53"/>
      <c r="K78" s="53"/>
    </row>
    <row r="79" spans="1:11" x14ac:dyDescent="0.25">
      <c r="J79" s="53"/>
      <c r="K79" s="53"/>
    </row>
    <row r="80" spans="1:11" x14ac:dyDescent="0.25">
      <c r="J80" s="53"/>
      <c r="K80" s="53"/>
    </row>
    <row r="81" spans="1:11" x14ac:dyDescent="0.25">
      <c r="A81" t="s">
        <v>140</v>
      </c>
      <c r="J81" s="53"/>
      <c r="K81" s="53"/>
    </row>
    <row r="82" spans="1:11" ht="38.25" x14ac:dyDescent="0.25">
      <c r="A82" s="192" t="s">
        <v>118</v>
      </c>
      <c r="B82" s="192" t="s">
        <v>132</v>
      </c>
      <c r="C82" s="192" t="s">
        <v>125</v>
      </c>
      <c r="D82" s="192" t="s">
        <v>133</v>
      </c>
      <c r="E82" s="192" t="s">
        <v>134</v>
      </c>
      <c r="F82" s="192" t="s">
        <v>135</v>
      </c>
      <c r="G82" s="192" t="s">
        <v>136</v>
      </c>
      <c r="H82" s="192" t="s">
        <v>137</v>
      </c>
      <c r="I82" s="193" t="s">
        <v>138</v>
      </c>
    </row>
    <row r="83" spans="1:11" x14ac:dyDescent="0.25">
      <c r="A83" s="190">
        <v>1</v>
      </c>
      <c r="B83" s="191">
        <v>49660</v>
      </c>
      <c r="C83" s="191">
        <v>43570</v>
      </c>
      <c r="D83" s="191">
        <v>140000</v>
      </c>
      <c r="E83" s="191"/>
      <c r="F83" s="191"/>
      <c r="G83" s="191">
        <v>0</v>
      </c>
      <c r="H83" s="191"/>
      <c r="I83" s="53">
        <f t="shared" ref="I83:I91" si="33">D83+(F83*0.3)</f>
        <v>140000</v>
      </c>
    </row>
    <row r="84" spans="1:11" x14ac:dyDescent="0.25">
      <c r="A84" s="190">
        <v>2</v>
      </c>
      <c r="B84" s="191">
        <v>73698</v>
      </c>
      <c r="C84" s="191">
        <v>61518</v>
      </c>
      <c r="D84" s="191">
        <v>140000</v>
      </c>
      <c r="E84" s="191"/>
      <c r="F84" s="191"/>
      <c r="G84" s="191">
        <v>0</v>
      </c>
      <c r="H84" s="191"/>
      <c r="I84" s="53">
        <f t="shared" si="33"/>
        <v>140000</v>
      </c>
    </row>
    <row r="85" spans="1:11" x14ac:dyDescent="0.25">
      <c r="A85" s="190">
        <v>3</v>
      </c>
      <c r="B85" s="191">
        <v>97736</v>
      </c>
      <c r="C85" s="191">
        <v>79466</v>
      </c>
      <c r="D85" s="191">
        <v>140000</v>
      </c>
      <c r="E85" s="191"/>
      <c r="F85" s="191"/>
      <c r="G85" s="191">
        <v>0</v>
      </c>
      <c r="H85" s="191"/>
      <c r="I85" s="53">
        <f t="shared" si="33"/>
        <v>140000</v>
      </c>
    </row>
    <row r="86" spans="1:11" x14ac:dyDescent="0.25">
      <c r="A86" s="190">
        <v>4</v>
      </c>
      <c r="B86" s="191">
        <v>121774</v>
      </c>
      <c r="C86" s="191">
        <v>97414</v>
      </c>
      <c r="D86" s="191">
        <v>140000</v>
      </c>
      <c r="E86" s="191"/>
      <c r="F86" s="191"/>
      <c r="G86" s="191">
        <v>0</v>
      </c>
      <c r="H86" s="191"/>
      <c r="I86" s="53">
        <f t="shared" si="33"/>
        <v>140000</v>
      </c>
    </row>
    <row r="87" spans="1:11" x14ac:dyDescent="0.25">
      <c r="A87" s="190">
        <v>5</v>
      </c>
      <c r="B87" s="191">
        <v>145810</v>
      </c>
      <c r="C87" s="191">
        <v>115360.5</v>
      </c>
      <c r="D87" s="191">
        <v>140000</v>
      </c>
      <c r="E87" s="191"/>
      <c r="F87" s="191">
        <f>+B87-D87</f>
        <v>5810</v>
      </c>
      <c r="G87" s="191">
        <v>0</v>
      </c>
      <c r="H87" s="191">
        <f>+F87*0.75</f>
        <v>4357.5</v>
      </c>
      <c r="I87" s="53">
        <f t="shared" si="33"/>
        <v>141743</v>
      </c>
      <c r="J87" s="169"/>
      <c r="K87" s="169"/>
    </row>
    <row r="88" spans="1:11" x14ac:dyDescent="0.25">
      <c r="A88" s="190">
        <v>6</v>
      </c>
      <c r="B88" s="191">
        <v>169848</v>
      </c>
      <c r="C88" s="191">
        <v>133308.5</v>
      </c>
      <c r="D88" s="191">
        <v>140000</v>
      </c>
      <c r="E88" s="191"/>
      <c r="F88" s="191">
        <f>+B88-D88</f>
        <v>29848</v>
      </c>
      <c r="G88" s="191">
        <v>0</v>
      </c>
      <c r="H88" s="191">
        <f>+F88*0.7</f>
        <v>20893.599999999999</v>
      </c>
      <c r="I88" s="53">
        <f t="shared" si="33"/>
        <v>148954.4</v>
      </c>
    </row>
    <row r="89" spans="1:11" x14ac:dyDescent="0.25">
      <c r="A89" s="190">
        <v>7</v>
      </c>
      <c r="B89" s="191">
        <v>193886</v>
      </c>
      <c r="C89" s="191">
        <v>151256.5</v>
      </c>
      <c r="D89" s="191">
        <v>140000</v>
      </c>
      <c r="E89" s="191">
        <f>+C89-D89</f>
        <v>11256.5</v>
      </c>
      <c r="F89" s="191">
        <f>+B89-D89</f>
        <v>53886</v>
      </c>
      <c r="G89" s="191">
        <f>(C89-D89)*0.7</f>
        <v>7879.5499999999993</v>
      </c>
      <c r="H89" s="191">
        <f>+F89*0.7</f>
        <v>37720.199999999997</v>
      </c>
      <c r="I89" s="53">
        <f t="shared" si="33"/>
        <v>156165.79999999999</v>
      </c>
    </row>
    <row r="90" spans="1:11" x14ac:dyDescent="0.25">
      <c r="A90" s="190">
        <v>8</v>
      </c>
      <c r="B90" s="191">
        <v>217924</v>
      </c>
      <c r="C90" s="191">
        <v>169204.5</v>
      </c>
      <c r="D90" s="191">
        <v>140000</v>
      </c>
      <c r="E90" s="191">
        <f>+C90-D90</f>
        <v>29204.5</v>
      </c>
      <c r="F90" s="191">
        <f>+B90-D90</f>
        <v>77924</v>
      </c>
      <c r="G90" s="191">
        <f>(C90-D90)*0.7</f>
        <v>20443.149999999998</v>
      </c>
      <c r="H90" s="191">
        <f>+F90*0.7</f>
        <v>54546.799999999996</v>
      </c>
      <c r="I90" s="53">
        <f t="shared" si="33"/>
        <v>163377.20000000001</v>
      </c>
    </row>
    <row r="91" spans="1:11" x14ac:dyDescent="0.25">
      <c r="A91" s="190">
        <v>9</v>
      </c>
      <c r="B91" s="191">
        <v>241962</v>
      </c>
      <c r="C91" s="191">
        <v>187152.5</v>
      </c>
      <c r="D91" s="191">
        <v>140000</v>
      </c>
      <c r="E91" s="191">
        <f>+C91-D91</f>
        <v>47152.5</v>
      </c>
      <c r="F91" s="191">
        <f>+B91-D91</f>
        <v>101962</v>
      </c>
      <c r="G91" s="191">
        <f>(C91-D91)*0.7</f>
        <v>33006.75</v>
      </c>
      <c r="H91" s="191">
        <f>+F91*0.7</f>
        <v>71373.399999999994</v>
      </c>
      <c r="I91" s="53">
        <f t="shared" si="33"/>
        <v>170588.6</v>
      </c>
    </row>
    <row r="93" spans="1:11" x14ac:dyDescent="0.25">
      <c r="J93" s="53"/>
      <c r="K93" s="53"/>
    </row>
    <row r="94" spans="1:11" x14ac:dyDescent="0.25">
      <c r="A94" t="s">
        <v>141</v>
      </c>
      <c r="J94" s="53"/>
      <c r="K94" s="53"/>
    </row>
    <row r="95" spans="1:11" ht="38.25" x14ac:dyDescent="0.25">
      <c r="A95" s="192" t="s">
        <v>118</v>
      </c>
      <c r="B95" s="192" t="s">
        <v>132</v>
      </c>
      <c r="C95" s="192" t="s">
        <v>125</v>
      </c>
      <c r="D95" s="192" t="s">
        <v>133</v>
      </c>
      <c r="E95" s="192" t="s">
        <v>134</v>
      </c>
      <c r="F95" s="192" t="s">
        <v>135</v>
      </c>
      <c r="G95" s="192" t="s">
        <v>136</v>
      </c>
      <c r="H95" s="192" t="s">
        <v>137</v>
      </c>
      <c r="I95" s="193" t="s">
        <v>138</v>
      </c>
      <c r="J95" s="53"/>
      <c r="K95" s="53"/>
    </row>
    <row r="96" spans="1:11" x14ac:dyDescent="0.25">
      <c r="A96" s="190">
        <v>1</v>
      </c>
      <c r="B96" s="191">
        <v>49660</v>
      </c>
      <c r="C96" s="191">
        <v>43570</v>
      </c>
      <c r="D96" s="191">
        <v>140000</v>
      </c>
      <c r="E96" s="191"/>
      <c r="F96" s="191"/>
      <c r="G96" s="191">
        <v>0</v>
      </c>
      <c r="H96" s="191"/>
      <c r="I96" s="53">
        <f t="shared" ref="I96:I104" si="34">D96+(F96*0.4)</f>
        <v>140000</v>
      </c>
      <c r="J96" s="53"/>
      <c r="K96" s="53"/>
    </row>
    <row r="97" spans="1:19" x14ac:dyDescent="0.25">
      <c r="A97" s="190">
        <v>2</v>
      </c>
      <c r="B97" s="191">
        <v>73698</v>
      </c>
      <c r="C97" s="191">
        <v>61518</v>
      </c>
      <c r="D97" s="191">
        <v>140000</v>
      </c>
      <c r="E97" s="191"/>
      <c r="F97" s="191"/>
      <c r="G97" s="191">
        <v>0</v>
      </c>
      <c r="H97" s="191"/>
      <c r="I97" s="53">
        <f t="shared" si="34"/>
        <v>140000</v>
      </c>
    </row>
    <row r="98" spans="1:19" x14ac:dyDescent="0.25">
      <c r="A98" s="190">
        <v>3</v>
      </c>
      <c r="B98" s="191">
        <v>97736</v>
      </c>
      <c r="C98" s="191">
        <v>79466</v>
      </c>
      <c r="D98" s="191">
        <v>140000</v>
      </c>
      <c r="E98" s="191"/>
      <c r="F98" s="191"/>
      <c r="G98" s="191">
        <v>0</v>
      </c>
      <c r="H98" s="191"/>
      <c r="I98" s="53">
        <f t="shared" si="34"/>
        <v>140000</v>
      </c>
    </row>
    <row r="99" spans="1:19" x14ac:dyDescent="0.25">
      <c r="A99" s="190">
        <v>4</v>
      </c>
      <c r="B99" s="191">
        <v>121774</v>
      </c>
      <c r="C99" s="191">
        <v>97414</v>
      </c>
      <c r="D99" s="191">
        <v>140000</v>
      </c>
      <c r="E99" s="191"/>
      <c r="F99" s="191"/>
      <c r="G99" s="191">
        <v>0</v>
      </c>
      <c r="H99" s="191"/>
      <c r="I99" s="53">
        <f t="shared" si="34"/>
        <v>140000</v>
      </c>
    </row>
    <row r="100" spans="1:19" x14ac:dyDescent="0.25">
      <c r="A100" s="190">
        <v>5</v>
      </c>
      <c r="B100" s="191">
        <v>145810</v>
      </c>
      <c r="C100" s="191">
        <v>115360.5</v>
      </c>
      <c r="D100" s="191">
        <v>140000</v>
      </c>
      <c r="E100" s="191"/>
      <c r="F100" s="191">
        <f>+B100-D100</f>
        <v>5810</v>
      </c>
      <c r="G100" s="191">
        <v>0</v>
      </c>
      <c r="H100" s="191">
        <f>+F100*0.6</f>
        <v>3486</v>
      </c>
      <c r="I100" s="53">
        <f t="shared" si="34"/>
        <v>142324</v>
      </c>
    </row>
    <row r="101" spans="1:19" x14ac:dyDescent="0.25">
      <c r="A101" s="190">
        <v>6</v>
      </c>
      <c r="B101" s="191">
        <v>169848</v>
      </c>
      <c r="C101" s="191">
        <v>133308.5</v>
      </c>
      <c r="D101" s="191">
        <v>140000</v>
      </c>
      <c r="E101" s="191"/>
      <c r="F101" s="191">
        <f>+B101-D101</f>
        <v>29848</v>
      </c>
      <c r="G101" s="191">
        <v>0</v>
      </c>
      <c r="H101" s="191">
        <f>+F101*0.6</f>
        <v>17908.8</v>
      </c>
      <c r="I101" s="53">
        <f t="shared" si="34"/>
        <v>151939.20000000001</v>
      </c>
    </row>
    <row r="102" spans="1:19" x14ac:dyDescent="0.25">
      <c r="A102" s="190">
        <v>7</v>
      </c>
      <c r="B102" s="191">
        <v>193886</v>
      </c>
      <c r="C102" s="191">
        <v>151256.5</v>
      </c>
      <c r="D102" s="191">
        <v>140000</v>
      </c>
      <c r="E102" s="191">
        <f>+C102-D102</f>
        <v>11256.5</v>
      </c>
      <c r="F102" s="191">
        <f>+B102-D102</f>
        <v>53886</v>
      </c>
      <c r="G102" s="191">
        <f>(C102-D102)*0.6</f>
        <v>6753.9</v>
      </c>
      <c r="H102" s="191">
        <f>+F102*0.6</f>
        <v>32331.599999999999</v>
      </c>
      <c r="I102" s="53">
        <f t="shared" si="34"/>
        <v>161554.4</v>
      </c>
      <c r="J102" s="169"/>
      <c r="K102" s="169"/>
    </row>
    <row r="103" spans="1:19" x14ac:dyDescent="0.25">
      <c r="A103" s="190">
        <v>8</v>
      </c>
      <c r="B103" s="191">
        <v>217924</v>
      </c>
      <c r="C103" s="191">
        <v>169204.5</v>
      </c>
      <c r="D103" s="191">
        <v>140000</v>
      </c>
      <c r="E103" s="191">
        <f>+C103-D103</f>
        <v>29204.5</v>
      </c>
      <c r="F103" s="191">
        <f>+B103-D103</f>
        <v>77924</v>
      </c>
      <c r="G103" s="191">
        <f>(C103-D103)*0.6</f>
        <v>17522.7</v>
      </c>
      <c r="H103" s="191">
        <f>+F103*0.6</f>
        <v>46754.400000000001</v>
      </c>
      <c r="I103" s="53">
        <f t="shared" si="34"/>
        <v>171169.6</v>
      </c>
    </row>
    <row r="104" spans="1:19" x14ac:dyDescent="0.25">
      <c r="A104" s="190">
        <v>9</v>
      </c>
      <c r="B104" s="191">
        <v>241962</v>
      </c>
      <c r="C104" s="191">
        <v>187152.5</v>
      </c>
      <c r="D104" s="191">
        <v>140000</v>
      </c>
      <c r="E104" s="191">
        <f>+C104-D104</f>
        <v>47152.5</v>
      </c>
      <c r="F104" s="191">
        <f>+B104-D104</f>
        <v>101962</v>
      </c>
      <c r="G104" s="191">
        <f>(C104-D104)*0.6</f>
        <v>28291.5</v>
      </c>
      <c r="H104" s="191">
        <f>+F104*0.6</f>
        <v>61177.2</v>
      </c>
      <c r="I104" s="53">
        <f t="shared" si="34"/>
        <v>180784.8</v>
      </c>
    </row>
    <row r="105" spans="1:19" x14ac:dyDescent="0.25">
      <c r="A105" s="170"/>
      <c r="B105" s="171"/>
      <c r="C105" s="171"/>
      <c r="D105" s="171"/>
      <c r="E105" s="171"/>
      <c r="F105" s="171"/>
      <c r="G105" s="171"/>
      <c r="H105" s="171"/>
      <c r="I105" s="171"/>
    </row>
    <row r="106" spans="1:19" x14ac:dyDescent="0.25">
      <c r="A106" s="170"/>
      <c r="B106" s="171"/>
      <c r="C106" s="171"/>
      <c r="D106" s="171"/>
      <c r="E106" s="171"/>
      <c r="F106" s="171"/>
      <c r="G106" s="171"/>
      <c r="H106" s="171"/>
      <c r="I106" s="171"/>
    </row>
    <row r="107" spans="1:19" x14ac:dyDescent="0.25">
      <c r="A107" s="170"/>
      <c r="B107" s="171"/>
      <c r="C107" s="171"/>
      <c r="D107" s="171"/>
      <c r="E107" s="171"/>
      <c r="F107" s="171"/>
      <c r="G107" s="171"/>
      <c r="H107" s="171"/>
      <c r="I107" s="171"/>
    </row>
    <row r="108" spans="1:19" x14ac:dyDescent="0.25">
      <c r="A108" s="170" t="s">
        <v>142</v>
      </c>
      <c r="B108" s="171"/>
      <c r="C108" s="171"/>
      <c r="D108" s="171"/>
      <c r="E108" s="171"/>
      <c r="F108" s="171"/>
      <c r="G108" s="171"/>
      <c r="H108" s="171"/>
      <c r="I108" s="171"/>
    </row>
    <row r="109" spans="1:19" ht="60" x14ac:dyDescent="0.25">
      <c r="A109" s="194" t="s">
        <v>118</v>
      </c>
      <c r="B109" s="194" t="s">
        <v>119</v>
      </c>
      <c r="C109" s="194" t="s">
        <v>120</v>
      </c>
      <c r="D109" s="194" t="s">
        <v>121</v>
      </c>
      <c r="E109" s="194" t="s">
        <v>122</v>
      </c>
      <c r="F109" s="194" t="s">
        <v>123</v>
      </c>
      <c r="G109" s="194" t="s">
        <v>124</v>
      </c>
      <c r="H109" s="194" t="s">
        <v>125</v>
      </c>
      <c r="I109" s="194" t="s">
        <v>126</v>
      </c>
      <c r="J109" s="194" t="s">
        <v>127</v>
      </c>
      <c r="K109" s="195" t="s">
        <v>143</v>
      </c>
      <c r="L109" s="194" t="s">
        <v>144</v>
      </c>
      <c r="M109" s="194" t="s">
        <v>145</v>
      </c>
      <c r="N109" s="194" t="s">
        <v>25</v>
      </c>
      <c r="O109" s="194" t="s">
        <v>146</v>
      </c>
      <c r="P109" s="194" t="s">
        <v>147</v>
      </c>
      <c r="Q109" s="194" t="s">
        <v>148</v>
      </c>
      <c r="R109" s="194" t="s">
        <v>149</v>
      </c>
      <c r="S109" s="194" t="s">
        <v>35</v>
      </c>
    </row>
    <row r="110" spans="1:19" hidden="1" x14ac:dyDescent="0.25">
      <c r="A110" s="190">
        <v>1</v>
      </c>
      <c r="B110" s="191"/>
      <c r="C110" s="191">
        <v>11858</v>
      </c>
      <c r="D110" s="191"/>
      <c r="E110" s="191">
        <v>25622</v>
      </c>
      <c r="F110" s="191"/>
      <c r="G110" s="191">
        <f>E110+C110</f>
        <v>37480</v>
      </c>
      <c r="H110" s="191">
        <f>(B110/2)+C110+E110</f>
        <v>37480</v>
      </c>
      <c r="I110" s="191">
        <f>F110*0.92</f>
        <v>0</v>
      </c>
      <c r="J110" s="191">
        <f>H110*0.92</f>
        <v>34481.599999999999</v>
      </c>
      <c r="K110" s="40">
        <f>G110*0.92</f>
        <v>34481.599999999999</v>
      </c>
      <c r="L110" s="8">
        <f>+G110*0.15</f>
        <v>5622</v>
      </c>
      <c r="M110" s="8">
        <f>1270*10</f>
        <v>12700</v>
      </c>
      <c r="N110" s="8">
        <v>12000</v>
      </c>
      <c r="O110" s="8"/>
      <c r="P110" s="8">
        <f>SUM(L110:O110)</f>
        <v>30322</v>
      </c>
      <c r="Q110" s="40">
        <f>+K110-P110</f>
        <v>4159.5999999999985</v>
      </c>
      <c r="R110" s="8"/>
      <c r="S110" s="8"/>
    </row>
    <row r="111" spans="1:19" hidden="1" x14ac:dyDescent="0.25">
      <c r="A111" s="190">
        <v>2</v>
      </c>
      <c r="B111" s="191"/>
      <c r="C111" s="191">
        <v>23716</v>
      </c>
      <c r="D111" s="191"/>
      <c r="E111" s="191">
        <v>25622</v>
      </c>
      <c r="F111" s="191"/>
      <c r="G111" s="191">
        <f t="shared" ref="G111:G118" si="35">E111+C111</f>
        <v>49338</v>
      </c>
      <c r="H111" s="191">
        <f t="shared" ref="H111:H118" si="36">(B111/2)+C111+E111</f>
        <v>49338</v>
      </c>
      <c r="I111" s="191">
        <f t="shared" ref="I111:I118" si="37">F111*0.92</f>
        <v>0</v>
      </c>
      <c r="J111" s="191">
        <f t="shared" ref="J111:J118" si="38">H111*0.92</f>
        <v>45390.96</v>
      </c>
      <c r="K111" s="40">
        <f t="shared" ref="K111:K118" si="39">G111*0.92</f>
        <v>45390.96</v>
      </c>
      <c r="L111" s="8">
        <f t="shared" ref="L111:L118" si="40">+G111*0.15</f>
        <v>7400.7</v>
      </c>
      <c r="M111" s="8">
        <f t="shared" ref="M111:M118" si="41">1270*10</f>
        <v>12700</v>
      </c>
      <c r="N111" s="8">
        <v>12000</v>
      </c>
      <c r="O111" s="8"/>
      <c r="P111" s="8">
        <f t="shared" ref="P111:P118" si="42">SUM(L111:O111)</f>
        <v>32100.7</v>
      </c>
      <c r="Q111" s="40">
        <f t="shared" ref="Q111:Q123" si="43">+K111-P111</f>
        <v>13290.259999999998</v>
      </c>
      <c r="R111" s="8"/>
      <c r="S111" s="8"/>
    </row>
    <row r="112" spans="1:19" hidden="1" x14ac:dyDescent="0.25">
      <c r="A112" s="190">
        <v>3</v>
      </c>
      <c r="B112" s="191"/>
      <c r="C112" s="191">
        <v>35574</v>
      </c>
      <c r="D112" s="191"/>
      <c r="E112" s="191">
        <v>25622</v>
      </c>
      <c r="F112" s="191"/>
      <c r="G112" s="191">
        <f t="shared" si="35"/>
        <v>61196</v>
      </c>
      <c r="H112" s="191">
        <f t="shared" si="36"/>
        <v>61196</v>
      </c>
      <c r="I112" s="191">
        <f t="shared" si="37"/>
        <v>0</v>
      </c>
      <c r="J112" s="191">
        <f t="shared" si="38"/>
        <v>56300.32</v>
      </c>
      <c r="K112" s="40">
        <f t="shared" si="39"/>
        <v>56300.32</v>
      </c>
      <c r="L112" s="8">
        <f t="shared" si="40"/>
        <v>9179.4</v>
      </c>
      <c r="M112" s="8">
        <f t="shared" si="41"/>
        <v>12700</v>
      </c>
      <c r="N112" s="8">
        <v>12000</v>
      </c>
      <c r="O112" s="8"/>
      <c r="P112" s="8">
        <f t="shared" si="42"/>
        <v>33879.4</v>
      </c>
      <c r="Q112" s="40">
        <f t="shared" si="43"/>
        <v>22420.92</v>
      </c>
      <c r="R112" s="8"/>
      <c r="S112" s="8"/>
    </row>
    <row r="113" spans="1:19" x14ac:dyDescent="0.25">
      <c r="A113" s="190">
        <v>4</v>
      </c>
      <c r="B113" s="191"/>
      <c r="C113" s="191">
        <v>47432</v>
      </c>
      <c r="D113" s="191"/>
      <c r="E113" s="191">
        <v>25622</v>
      </c>
      <c r="F113" s="191"/>
      <c r="G113" s="191">
        <f t="shared" si="35"/>
        <v>73054</v>
      </c>
      <c r="H113" s="191">
        <f t="shared" si="36"/>
        <v>73054</v>
      </c>
      <c r="I113" s="191">
        <f t="shared" si="37"/>
        <v>0</v>
      </c>
      <c r="J113" s="191">
        <f t="shared" si="38"/>
        <v>67209.680000000008</v>
      </c>
      <c r="K113" s="40">
        <f t="shared" si="39"/>
        <v>67209.680000000008</v>
      </c>
      <c r="L113" s="8">
        <f t="shared" si="40"/>
        <v>10958.1</v>
      </c>
      <c r="M113" s="8">
        <f t="shared" si="41"/>
        <v>12700</v>
      </c>
      <c r="N113" s="8">
        <v>12000</v>
      </c>
      <c r="O113" s="8"/>
      <c r="P113" s="8">
        <f t="shared" si="42"/>
        <v>35658.1</v>
      </c>
      <c r="Q113" s="40">
        <f t="shared" si="43"/>
        <v>31551.580000000009</v>
      </c>
      <c r="R113" s="8">
        <v>118000</v>
      </c>
      <c r="S113" s="40">
        <f>+Q113-R113</f>
        <v>-86448.419999999984</v>
      </c>
    </row>
    <row r="114" spans="1:19" x14ac:dyDescent="0.25">
      <c r="A114" s="190">
        <v>5</v>
      </c>
      <c r="B114" s="191"/>
      <c r="C114" s="191">
        <v>59289</v>
      </c>
      <c r="D114" s="191"/>
      <c r="E114" s="191">
        <v>25622</v>
      </c>
      <c r="F114" s="191"/>
      <c r="G114" s="191">
        <f t="shared" si="35"/>
        <v>84911</v>
      </c>
      <c r="H114" s="191">
        <f t="shared" si="36"/>
        <v>84911</v>
      </c>
      <c r="I114" s="191">
        <f t="shared" si="37"/>
        <v>0</v>
      </c>
      <c r="J114" s="191">
        <f t="shared" si="38"/>
        <v>78118.12000000001</v>
      </c>
      <c r="K114" s="40">
        <f t="shared" si="39"/>
        <v>78118.12000000001</v>
      </c>
      <c r="L114" s="8">
        <f t="shared" si="40"/>
        <v>12736.65</v>
      </c>
      <c r="M114" s="8">
        <f t="shared" si="41"/>
        <v>12700</v>
      </c>
      <c r="N114" s="8">
        <v>12000</v>
      </c>
      <c r="O114" s="8"/>
      <c r="P114" s="8">
        <f t="shared" si="42"/>
        <v>37436.65</v>
      </c>
      <c r="Q114" s="40">
        <f t="shared" si="43"/>
        <v>40681.470000000008</v>
      </c>
      <c r="R114" s="8">
        <v>118000</v>
      </c>
      <c r="S114" s="40">
        <f t="shared" ref="S114:S118" si="44">+Q114-R114</f>
        <v>-77318.53</v>
      </c>
    </row>
    <row r="115" spans="1:19" x14ac:dyDescent="0.25">
      <c r="A115" s="190">
        <v>6</v>
      </c>
      <c r="B115" s="191"/>
      <c r="C115" s="191">
        <v>71147</v>
      </c>
      <c r="D115" s="191"/>
      <c r="E115" s="191">
        <v>25622</v>
      </c>
      <c r="F115" s="191"/>
      <c r="G115" s="191">
        <f t="shared" si="35"/>
        <v>96769</v>
      </c>
      <c r="H115" s="191">
        <f t="shared" si="36"/>
        <v>96769</v>
      </c>
      <c r="I115" s="191">
        <f t="shared" si="37"/>
        <v>0</v>
      </c>
      <c r="J115" s="191">
        <f t="shared" si="38"/>
        <v>89027.48000000001</v>
      </c>
      <c r="K115" s="40">
        <f t="shared" si="39"/>
        <v>89027.48000000001</v>
      </c>
      <c r="L115" s="8">
        <f t="shared" si="40"/>
        <v>14515.35</v>
      </c>
      <c r="M115" s="8">
        <f t="shared" si="41"/>
        <v>12700</v>
      </c>
      <c r="N115" s="8">
        <v>12000</v>
      </c>
      <c r="O115" s="8"/>
      <c r="P115" s="8">
        <f t="shared" si="42"/>
        <v>39215.35</v>
      </c>
      <c r="Q115" s="40">
        <f t="shared" si="43"/>
        <v>49812.130000000012</v>
      </c>
      <c r="R115" s="8">
        <v>118000</v>
      </c>
      <c r="S115" s="40">
        <f t="shared" si="44"/>
        <v>-68187.87</v>
      </c>
    </row>
    <row r="116" spans="1:19" x14ac:dyDescent="0.25">
      <c r="A116" s="190">
        <v>7</v>
      </c>
      <c r="B116" s="191"/>
      <c r="C116" s="191">
        <v>83005</v>
      </c>
      <c r="D116" s="191"/>
      <c r="E116" s="191">
        <v>25622</v>
      </c>
      <c r="F116" s="191"/>
      <c r="G116" s="191">
        <f t="shared" si="35"/>
        <v>108627</v>
      </c>
      <c r="H116" s="191">
        <f t="shared" si="36"/>
        <v>108627</v>
      </c>
      <c r="I116" s="191">
        <f t="shared" si="37"/>
        <v>0</v>
      </c>
      <c r="J116" s="191">
        <f t="shared" si="38"/>
        <v>99936.840000000011</v>
      </c>
      <c r="K116" s="40">
        <f t="shared" si="39"/>
        <v>99936.840000000011</v>
      </c>
      <c r="L116" s="8">
        <f t="shared" si="40"/>
        <v>16294.05</v>
      </c>
      <c r="M116" s="8">
        <f t="shared" si="41"/>
        <v>12700</v>
      </c>
      <c r="N116" s="8">
        <v>12000</v>
      </c>
      <c r="O116" s="8"/>
      <c r="P116" s="8">
        <f t="shared" si="42"/>
        <v>40994.050000000003</v>
      </c>
      <c r="Q116" s="40">
        <f t="shared" si="43"/>
        <v>58942.790000000008</v>
      </c>
      <c r="R116" s="8">
        <v>118000</v>
      </c>
      <c r="S116" s="40">
        <f t="shared" si="44"/>
        <v>-59057.209999999992</v>
      </c>
    </row>
    <row r="117" spans="1:19" x14ac:dyDescent="0.25">
      <c r="A117" s="190">
        <v>8</v>
      </c>
      <c r="B117" s="191"/>
      <c r="C117" s="191">
        <v>94863</v>
      </c>
      <c r="D117" s="191"/>
      <c r="E117" s="191">
        <v>25622</v>
      </c>
      <c r="F117" s="191"/>
      <c r="G117" s="191">
        <f t="shared" si="35"/>
        <v>120485</v>
      </c>
      <c r="H117" s="191">
        <f t="shared" si="36"/>
        <v>120485</v>
      </c>
      <c r="I117" s="191">
        <f t="shared" si="37"/>
        <v>0</v>
      </c>
      <c r="J117" s="191">
        <f t="shared" si="38"/>
        <v>110846.20000000001</v>
      </c>
      <c r="K117" s="40">
        <f t="shared" si="39"/>
        <v>110846.20000000001</v>
      </c>
      <c r="L117" s="8">
        <f t="shared" si="40"/>
        <v>18072.75</v>
      </c>
      <c r="M117" s="8">
        <f t="shared" si="41"/>
        <v>12700</v>
      </c>
      <c r="N117" s="8">
        <v>12000</v>
      </c>
      <c r="O117" s="8"/>
      <c r="P117" s="8">
        <f t="shared" si="42"/>
        <v>42772.75</v>
      </c>
      <c r="Q117" s="40">
        <f t="shared" si="43"/>
        <v>68073.450000000012</v>
      </c>
      <c r="R117" s="8">
        <v>118000</v>
      </c>
      <c r="S117" s="40">
        <f t="shared" si="44"/>
        <v>-49926.549999999988</v>
      </c>
    </row>
    <row r="118" spans="1:19" x14ac:dyDescent="0.25">
      <c r="A118" s="190">
        <v>9</v>
      </c>
      <c r="B118" s="191"/>
      <c r="C118" s="191">
        <v>106721</v>
      </c>
      <c r="D118" s="191"/>
      <c r="E118" s="191">
        <v>25622</v>
      </c>
      <c r="F118" s="191"/>
      <c r="G118" s="191">
        <f t="shared" si="35"/>
        <v>132343</v>
      </c>
      <c r="H118" s="191">
        <f t="shared" si="36"/>
        <v>132343</v>
      </c>
      <c r="I118" s="191">
        <f t="shared" si="37"/>
        <v>0</v>
      </c>
      <c r="J118" s="191">
        <f t="shared" si="38"/>
        <v>121755.56000000001</v>
      </c>
      <c r="K118" s="40">
        <f t="shared" si="39"/>
        <v>121755.56000000001</v>
      </c>
      <c r="L118" s="8">
        <f t="shared" si="40"/>
        <v>19851.45</v>
      </c>
      <c r="M118" s="8">
        <f t="shared" si="41"/>
        <v>12700</v>
      </c>
      <c r="N118" s="8">
        <v>12000</v>
      </c>
      <c r="O118" s="8"/>
      <c r="P118" s="8">
        <f t="shared" si="42"/>
        <v>44551.45</v>
      </c>
      <c r="Q118" s="40">
        <f t="shared" si="43"/>
        <v>77204.110000000015</v>
      </c>
      <c r="R118" s="8">
        <v>118000</v>
      </c>
      <c r="S118" s="40">
        <f t="shared" si="44"/>
        <v>-40795.889999999985</v>
      </c>
    </row>
    <row r="119" spans="1:19" x14ac:dyDescent="0.25">
      <c r="A119" s="169"/>
      <c r="B119" s="169"/>
      <c r="C119" s="169"/>
      <c r="D119" s="169"/>
      <c r="E119" s="169"/>
      <c r="F119" s="169"/>
      <c r="G119" s="169"/>
      <c r="H119" s="169"/>
      <c r="I119" s="169"/>
      <c r="O119" t="s">
        <v>150</v>
      </c>
    </row>
    <row r="120" spans="1:19" x14ac:dyDescent="0.25">
      <c r="A120" s="170">
        <v>2</v>
      </c>
      <c r="B120" s="171"/>
      <c r="C120" s="171">
        <f>+(350*52)*A120</f>
        <v>36400</v>
      </c>
      <c r="D120" s="171"/>
      <c r="E120" s="171"/>
      <c r="F120" s="171"/>
      <c r="G120" s="171"/>
      <c r="H120" s="171"/>
      <c r="I120" s="170"/>
      <c r="K120">
        <f>+C120*0.92</f>
        <v>33488</v>
      </c>
      <c r="L120">
        <f>+C120*15%</f>
        <v>5460</v>
      </c>
      <c r="O120">
        <f>+((30000)/10)*A120</f>
        <v>6000</v>
      </c>
      <c r="P120">
        <f>+L120+O120</f>
        <v>11460</v>
      </c>
      <c r="Q120" s="40">
        <f t="shared" si="43"/>
        <v>22028</v>
      </c>
    </row>
    <row r="121" spans="1:19" x14ac:dyDescent="0.25">
      <c r="A121" s="170">
        <v>3</v>
      </c>
      <c r="B121" s="171"/>
      <c r="C121" s="171">
        <f t="shared" ref="C121:C123" si="45">+(350*52)*A121</f>
        <v>54600</v>
      </c>
      <c r="D121" s="171"/>
      <c r="E121" s="171"/>
      <c r="F121" s="171"/>
      <c r="G121" s="171"/>
      <c r="H121" s="171"/>
      <c r="I121" s="170"/>
      <c r="K121">
        <f>+C121*0.92</f>
        <v>50232</v>
      </c>
      <c r="L121">
        <f t="shared" ref="L121:L123" si="46">+C121*15%</f>
        <v>8190</v>
      </c>
      <c r="O121">
        <f t="shared" ref="O121:O123" si="47">+((30000)/10)*A121</f>
        <v>9000</v>
      </c>
      <c r="P121">
        <f t="shared" ref="P121:P123" si="48">+L121+O121</f>
        <v>17190</v>
      </c>
      <c r="Q121" s="40">
        <f t="shared" si="43"/>
        <v>33042</v>
      </c>
    </row>
    <row r="122" spans="1:19" x14ac:dyDescent="0.25">
      <c r="A122" s="170">
        <v>4</v>
      </c>
      <c r="B122" s="171"/>
      <c r="C122" s="171">
        <f t="shared" si="45"/>
        <v>72800</v>
      </c>
      <c r="D122" s="171"/>
      <c r="E122" s="171"/>
      <c r="F122" s="171"/>
      <c r="G122" s="171"/>
      <c r="H122" s="171"/>
      <c r="I122" s="170"/>
      <c r="K122">
        <f t="shared" ref="K122:K123" si="49">+C122*0.92</f>
        <v>66976</v>
      </c>
      <c r="L122">
        <f t="shared" si="46"/>
        <v>10920</v>
      </c>
      <c r="O122">
        <f t="shared" si="47"/>
        <v>12000</v>
      </c>
      <c r="P122">
        <f t="shared" si="48"/>
        <v>22920</v>
      </c>
      <c r="Q122" s="40">
        <f t="shared" si="43"/>
        <v>44056</v>
      </c>
    </row>
    <row r="123" spans="1:19" x14ac:dyDescent="0.25">
      <c r="A123" s="170">
        <v>5</v>
      </c>
      <c r="B123" s="171"/>
      <c r="C123" s="171">
        <f t="shared" si="45"/>
        <v>91000</v>
      </c>
      <c r="D123" s="171"/>
      <c r="E123" s="171"/>
      <c r="F123" s="171"/>
      <c r="G123" s="171"/>
      <c r="H123" s="171"/>
      <c r="I123" s="171"/>
      <c r="K123">
        <f t="shared" si="49"/>
        <v>83720</v>
      </c>
      <c r="L123">
        <f t="shared" si="46"/>
        <v>13650</v>
      </c>
      <c r="O123">
        <f t="shared" si="47"/>
        <v>15000</v>
      </c>
      <c r="P123">
        <f t="shared" si="48"/>
        <v>28650</v>
      </c>
      <c r="Q123" s="40">
        <f t="shared" si="43"/>
        <v>55070</v>
      </c>
    </row>
    <row r="124" spans="1:19" x14ac:dyDescent="0.25">
      <c r="A124" s="170"/>
      <c r="B124" s="171"/>
      <c r="C124" s="171"/>
      <c r="D124" s="171"/>
      <c r="E124" s="171"/>
      <c r="F124" s="171"/>
      <c r="G124" s="171"/>
      <c r="H124" s="171"/>
      <c r="I124" s="171"/>
    </row>
    <row r="125" spans="1:19" x14ac:dyDescent="0.25">
      <c r="A125" s="170"/>
      <c r="B125" s="171"/>
      <c r="C125" s="171"/>
      <c r="D125" s="171"/>
      <c r="E125" s="171"/>
      <c r="F125" s="171"/>
      <c r="G125" s="171"/>
      <c r="H125" s="171"/>
      <c r="I125" s="171"/>
    </row>
    <row r="126" spans="1:19" x14ac:dyDescent="0.25">
      <c r="A126" s="170"/>
      <c r="B126" s="171"/>
      <c r="C126" s="171"/>
      <c r="D126" s="171"/>
      <c r="E126" s="171"/>
      <c r="F126" s="171"/>
      <c r="G126" s="171"/>
      <c r="H126" s="171"/>
      <c r="I126" s="171"/>
    </row>
    <row r="127" spans="1:19" x14ac:dyDescent="0.25">
      <c r="A127" s="170"/>
      <c r="B127" s="171"/>
      <c r="C127" s="171"/>
      <c r="D127" s="171"/>
      <c r="E127" s="171"/>
      <c r="F127" s="171"/>
      <c r="G127" s="171"/>
      <c r="H127" s="171"/>
      <c r="I127" s="171"/>
    </row>
    <row r="128" spans="1:19" x14ac:dyDescent="0.25">
      <c r="A128" s="170"/>
      <c r="B128" s="171"/>
      <c r="C128" s="171"/>
      <c r="D128" s="171"/>
      <c r="E128" s="171"/>
      <c r="F128" s="171"/>
      <c r="G128" s="171"/>
      <c r="H128" s="171"/>
      <c r="I128" s="171"/>
    </row>
    <row r="131" spans="1:11" x14ac:dyDescent="0.25">
      <c r="A131" s="174"/>
    </row>
    <row r="132" spans="1:11" x14ac:dyDescent="0.25">
      <c r="A132" s="187"/>
    </row>
    <row r="134" spans="1:11" x14ac:dyDescent="0.25">
      <c r="A134" s="169"/>
      <c r="B134" s="169"/>
      <c r="C134" s="169"/>
      <c r="D134" s="169"/>
      <c r="E134" s="169"/>
      <c r="F134" s="169"/>
      <c r="G134" s="169"/>
      <c r="H134" s="169"/>
      <c r="I134" s="169"/>
      <c r="J134" s="169"/>
      <c r="K134" s="169"/>
    </row>
    <row r="135" spans="1:11" x14ac:dyDescent="0.25">
      <c r="A135" s="170"/>
      <c r="B135" s="171"/>
      <c r="C135" s="171"/>
      <c r="D135" s="171"/>
      <c r="E135" s="171"/>
      <c r="F135" s="171"/>
      <c r="G135" s="171"/>
      <c r="H135" s="171"/>
      <c r="I135" s="170"/>
    </row>
    <row r="136" spans="1:11" x14ac:dyDescent="0.25">
      <c r="A136" s="170"/>
      <c r="B136" s="171"/>
      <c r="C136" s="171"/>
      <c r="D136" s="171"/>
      <c r="E136" s="171"/>
      <c r="F136" s="171"/>
      <c r="G136" s="171"/>
      <c r="H136" s="171"/>
      <c r="I136" s="170"/>
    </row>
    <row r="137" spans="1:11" x14ac:dyDescent="0.25">
      <c r="A137" s="170"/>
      <c r="B137" s="171"/>
      <c r="C137" s="171"/>
      <c r="D137" s="171"/>
      <c r="E137" s="171"/>
      <c r="F137" s="171"/>
      <c r="G137" s="171"/>
      <c r="H137" s="171"/>
      <c r="I137" s="170"/>
    </row>
    <row r="138" spans="1:11" x14ac:dyDescent="0.25">
      <c r="A138" s="170"/>
      <c r="B138" s="171"/>
      <c r="C138" s="171"/>
      <c r="D138" s="171"/>
      <c r="E138" s="171"/>
      <c r="F138" s="171"/>
      <c r="G138" s="171"/>
      <c r="H138" s="171"/>
      <c r="I138" s="170"/>
    </row>
    <row r="139" spans="1:11" x14ac:dyDescent="0.25">
      <c r="A139" s="170"/>
      <c r="B139" s="171"/>
      <c r="C139" s="171"/>
      <c r="D139" s="171"/>
      <c r="E139" s="171"/>
      <c r="F139" s="171"/>
      <c r="G139" s="171"/>
      <c r="H139" s="171"/>
      <c r="I139" s="171"/>
      <c r="J139" s="154"/>
      <c r="K139" s="154"/>
    </row>
    <row r="140" spans="1:11" x14ac:dyDescent="0.25">
      <c r="A140" s="170"/>
      <c r="B140" s="171"/>
      <c r="C140" s="171"/>
      <c r="D140" s="171"/>
      <c r="E140" s="171"/>
      <c r="F140" s="171"/>
      <c r="G140" s="171"/>
      <c r="H140" s="171"/>
      <c r="I140" s="171"/>
      <c r="J140" s="154"/>
      <c r="K140" s="154"/>
    </row>
    <row r="141" spans="1:11" x14ac:dyDescent="0.25">
      <c r="A141" s="170"/>
      <c r="B141" s="171"/>
      <c r="C141" s="171"/>
      <c r="D141" s="171"/>
      <c r="E141" s="171"/>
      <c r="F141" s="171"/>
      <c r="G141" s="171"/>
      <c r="H141" s="171"/>
      <c r="I141" s="171"/>
      <c r="J141" s="154"/>
      <c r="K141" s="154"/>
    </row>
    <row r="142" spans="1:11" x14ac:dyDescent="0.25">
      <c r="A142" s="170"/>
      <c r="B142" s="171"/>
      <c r="C142" s="171"/>
      <c r="D142" s="171"/>
      <c r="E142" s="171"/>
      <c r="F142" s="171"/>
      <c r="G142" s="171"/>
      <c r="H142" s="171"/>
      <c r="I142" s="171"/>
      <c r="J142" s="154"/>
      <c r="K142" s="154"/>
    </row>
    <row r="143" spans="1:11" x14ac:dyDescent="0.25">
      <c r="A143" s="170"/>
      <c r="B143" s="171"/>
      <c r="C143" s="171"/>
      <c r="D143" s="171"/>
      <c r="E143" s="171"/>
      <c r="F143" s="171"/>
      <c r="G143" s="171"/>
      <c r="H143" s="171"/>
      <c r="I143" s="171"/>
      <c r="J143" s="154"/>
      <c r="K143" s="15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Comparision</vt:lpstr>
      <vt:lpstr>Capital Stack</vt:lpstr>
      <vt:lpstr>cashflow</vt:lpstr>
      <vt:lpstr>2 x Land Sales@ 70LVR</vt:lpstr>
      <vt:lpstr>Budget vs actual</vt:lpstr>
      <vt:lpstr>1 land + 1 build</vt:lpstr>
      <vt:lpstr>2 x single build</vt:lpstr>
      <vt:lpstr>Sell 1 hold 1 at 70% LVR</vt:lpstr>
      <vt:lpstr>7 Yr Valuation &amp; Cashflow JV</vt:lpstr>
      <vt:lpstr>Senior Funding Model</vt:lpstr>
      <vt:lpstr>7 Yr Valuation &amp; Cashflow</vt:lpstr>
      <vt:lpstr>Cash Flow FY1</vt:lpstr>
      <vt:lpstr>Cash Flow FY2</vt:lpstr>
      <vt:lpstr>Cash Flow FY3</vt:lpstr>
      <vt:lpstr>Cash Flow FY4</vt:lpstr>
      <vt:lpstr>Cash Flow FY5</vt:lpstr>
      <vt:lpstr>2 x Land Sales@ 80 LVR</vt:lpstr>
      <vt:lpstr>IM Presentaion</vt:lpstr>
      <vt:lpstr>Claro Clash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Ramadugu</dc:creator>
  <cp:keywords/>
  <dc:description/>
  <cp:lastModifiedBy>Krishna Ramadugu</cp:lastModifiedBy>
  <cp:revision/>
  <dcterms:created xsi:type="dcterms:W3CDTF">2025-03-16T05:39:06Z</dcterms:created>
  <dcterms:modified xsi:type="dcterms:W3CDTF">2026-05-09T07:19:54Z</dcterms:modified>
  <cp:category/>
  <cp:contentStatus/>
</cp:coreProperties>
</file>